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lisa\Downloads\"/>
    </mc:Choice>
  </mc:AlternateContent>
  <xr:revisionPtr revIDLastSave="0" documentId="13_ncr:1_{E31543CF-CA94-4F49-9797-D3213C1BEB5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tock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J5" i="1"/>
  <c r="J38" i="1"/>
  <c r="K38" i="1" s="1"/>
  <c r="L38" i="1" s="1"/>
  <c r="I38" i="1"/>
  <c r="H38" i="1"/>
  <c r="J37" i="1"/>
  <c r="K37" i="1" s="1"/>
  <c r="L37" i="1" s="1"/>
  <c r="I37" i="1"/>
  <c r="J36" i="1"/>
  <c r="K36" i="1" s="1"/>
  <c r="L36" i="1" s="1"/>
  <c r="I36" i="1"/>
  <c r="J35" i="1"/>
  <c r="K35" i="1" s="1"/>
  <c r="L35" i="1" s="1"/>
  <c r="I35" i="1"/>
  <c r="J34" i="1"/>
  <c r="K34" i="1" s="1"/>
  <c r="L34" i="1" s="1"/>
  <c r="I34" i="1"/>
  <c r="H34" i="1"/>
  <c r="J33" i="1"/>
  <c r="K33" i="1" s="1"/>
  <c r="L33" i="1" s="1"/>
  <c r="I33" i="1"/>
  <c r="H33" i="1"/>
  <c r="J32" i="1"/>
  <c r="K32" i="1" s="1"/>
  <c r="L32" i="1" s="1"/>
  <c r="I32" i="1"/>
  <c r="J31" i="1"/>
  <c r="K31" i="1" s="1"/>
  <c r="L31" i="1" s="1"/>
  <c r="I31" i="1"/>
  <c r="J30" i="1"/>
  <c r="K30" i="1" s="1"/>
  <c r="L30" i="1" s="1"/>
  <c r="I30" i="1"/>
  <c r="J29" i="1"/>
  <c r="K29" i="1" s="1"/>
  <c r="L29" i="1" s="1"/>
  <c r="I29" i="1"/>
  <c r="J28" i="1"/>
  <c r="K28" i="1" s="1"/>
  <c r="L28" i="1" s="1"/>
  <c r="I28" i="1"/>
  <c r="J27" i="1"/>
  <c r="K27" i="1" s="1"/>
  <c r="L27" i="1" s="1"/>
  <c r="I27" i="1"/>
  <c r="J26" i="1"/>
  <c r="K26" i="1" s="1"/>
  <c r="L26" i="1" s="1"/>
  <c r="I26" i="1"/>
  <c r="J25" i="1"/>
  <c r="K25" i="1" s="1"/>
  <c r="L25" i="1" s="1"/>
  <c r="I25" i="1"/>
  <c r="J24" i="1"/>
  <c r="K24" i="1" s="1"/>
  <c r="L24" i="1" s="1"/>
  <c r="I24" i="1"/>
  <c r="H24" i="1"/>
  <c r="J23" i="1"/>
  <c r="K23" i="1" s="1"/>
  <c r="L23" i="1" s="1"/>
  <c r="I23" i="1"/>
  <c r="H23" i="1"/>
  <c r="J22" i="1"/>
  <c r="K22" i="1" s="1"/>
  <c r="L22" i="1" s="1"/>
  <c r="I22" i="1"/>
  <c r="H22" i="1"/>
  <c r="K21" i="1"/>
  <c r="L21" i="1" s="1"/>
  <c r="J21" i="1"/>
  <c r="I21" i="1"/>
  <c r="H21" i="1"/>
  <c r="J20" i="1"/>
  <c r="K20" i="1" s="1"/>
  <c r="L20" i="1" s="1"/>
  <c r="I20" i="1"/>
  <c r="H20" i="1"/>
  <c r="J19" i="1"/>
  <c r="K19" i="1" s="1"/>
  <c r="L19" i="1" s="1"/>
  <c r="I19" i="1"/>
  <c r="H19" i="1"/>
  <c r="J18" i="1"/>
  <c r="K18" i="1" s="1"/>
  <c r="L18" i="1" s="1"/>
  <c r="I18" i="1"/>
  <c r="H18" i="1"/>
  <c r="K17" i="1"/>
  <c r="L17" i="1" s="1"/>
  <c r="J17" i="1"/>
  <c r="I17" i="1"/>
  <c r="H17" i="1"/>
  <c r="J16" i="1"/>
  <c r="K16" i="1" s="1"/>
  <c r="L16" i="1" s="1"/>
  <c r="I16" i="1"/>
  <c r="H16" i="1"/>
  <c r="J15" i="1"/>
  <c r="K15" i="1" s="1"/>
  <c r="L15" i="1" s="1"/>
  <c r="I15" i="1"/>
  <c r="J14" i="1"/>
  <c r="K14" i="1" s="1"/>
  <c r="L14" i="1" s="1"/>
  <c r="I14" i="1"/>
  <c r="H14" i="1"/>
  <c r="J13" i="1"/>
  <c r="K13" i="1" s="1"/>
  <c r="L13" i="1" s="1"/>
  <c r="I13" i="1"/>
  <c r="J12" i="1"/>
  <c r="K12" i="1" s="1"/>
  <c r="L12" i="1" s="1"/>
  <c r="I12" i="1"/>
  <c r="J11" i="1"/>
  <c r="K11" i="1" s="1"/>
  <c r="L11" i="1" s="1"/>
  <c r="I11" i="1"/>
  <c r="J10" i="1"/>
  <c r="K10" i="1" s="1"/>
  <c r="L10" i="1" s="1"/>
  <c r="I10" i="1"/>
  <c r="K9" i="1"/>
  <c r="L9" i="1" s="1"/>
  <c r="I9" i="1"/>
  <c r="J8" i="1"/>
  <c r="K8" i="1" s="1"/>
  <c r="L8" i="1" s="1"/>
  <c r="I8" i="1"/>
  <c r="J7" i="1"/>
  <c r="K7" i="1" s="1"/>
  <c r="L7" i="1" s="1"/>
  <c r="I7" i="1"/>
  <c r="J6" i="1"/>
  <c r="K6" i="1" s="1"/>
  <c r="L6" i="1" s="1"/>
  <c r="I6" i="1"/>
  <c r="K5" i="1"/>
  <c r="L5" i="1" s="1"/>
  <c r="I5" i="1"/>
</calcChain>
</file>

<file path=xl/sharedStrings.xml><?xml version="1.0" encoding="utf-8"?>
<sst xmlns="http://schemas.openxmlformats.org/spreadsheetml/2006/main" count="70" uniqueCount="63">
  <si>
    <t>Plantilla de planificación de reposición de stock</t>
  </si>
  <si>
    <t>Completar únicamente las columnas A a H. Las columnas I a M se calculan automáticamente.</t>
  </si>
  <si>
    <t>Producto</t>
  </si>
  <si>
    <t>Stock actual</t>
  </si>
  <si>
    <t>Stock en tránsito</t>
  </si>
  <si>
    <t>Fecha estimada llegada tránsito</t>
  </si>
  <si>
    <t>Consumo promedio Mensual</t>
  </si>
  <si>
    <t>Tiempo fabricación (días)</t>
  </si>
  <si>
    <t>Tiempo tránsito (días)</t>
  </si>
  <si>
    <t>Stock de seguridad</t>
  </si>
  <si>
    <t>Fecha estimada de quiebre</t>
  </si>
  <si>
    <t>Fecha límite sugerida de pedido - 90 dias antes</t>
  </si>
  <si>
    <t>T900</t>
  </si>
  <si>
    <t>V900</t>
  </si>
  <si>
    <t>R850</t>
  </si>
  <si>
    <t>H950</t>
  </si>
  <si>
    <t>K950</t>
  </si>
  <si>
    <t>W950</t>
  </si>
  <si>
    <t>M900</t>
  </si>
  <si>
    <t>C900</t>
  </si>
  <si>
    <t>D900</t>
  </si>
  <si>
    <t>B36</t>
  </si>
  <si>
    <t>C36</t>
  </si>
  <si>
    <t>M36</t>
  </si>
  <si>
    <t>Y36</t>
  </si>
  <si>
    <t>N36</t>
  </si>
  <si>
    <t>BA36</t>
  </si>
  <si>
    <t>VS36</t>
  </si>
  <si>
    <t>H230</t>
  </si>
  <si>
    <t>M230</t>
  </si>
  <si>
    <t>F361</t>
  </si>
  <si>
    <t>R36</t>
  </si>
  <si>
    <t>RM1480</t>
  </si>
  <si>
    <t>N62</t>
  </si>
  <si>
    <t>T75</t>
  </si>
  <si>
    <t>B75</t>
  </si>
  <si>
    <t>C75</t>
  </si>
  <si>
    <t>M75</t>
  </si>
  <si>
    <t>T754</t>
  </si>
  <si>
    <t>D754</t>
  </si>
  <si>
    <t>T312</t>
  </si>
  <si>
    <t>V312</t>
  </si>
  <si>
    <t>T315</t>
  </si>
  <si>
    <t>V315</t>
  </si>
  <si>
    <t>H313</t>
  </si>
  <si>
    <t>T561</t>
  </si>
  <si>
    <t>Campo</t>
  </si>
  <si>
    <t>Qué completar</t>
  </si>
  <si>
    <t>Nombre o código del producto.</t>
  </si>
  <si>
    <t>Unidades disponibles hoy.</t>
  </si>
  <si>
    <t>Unidades ya pedidas que todavía no llegaron.</t>
  </si>
  <si>
    <t>Fecha prevista de llegada del stock en tránsito.</t>
  </si>
  <si>
    <t>Consumo promedio diario</t>
  </si>
  <si>
    <t>Promedio de unidades vendidas o utilizadas por día.</t>
  </si>
  <si>
    <t>Días que tarda el proveedor en fabricar/preparar el pedido.</t>
  </si>
  <si>
    <t>Días desde despacho hasta recepción.</t>
  </si>
  <si>
    <t>Unidades que querés mantener como colchón mínimo.</t>
  </si>
  <si>
    <t>Cobertura stock total (Meses)</t>
  </si>
  <si>
    <t>Cobertura stock total</t>
  </si>
  <si>
    <t>Se calcula como (stock actual + stock en tránsito) / consumo promedio mensual.</t>
  </si>
  <si>
    <t>Importante</t>
  </si>
  <si>
    <t>El stock en tránsito se incluye en la cobertura total porque representa mercadería ya pedida que se incorporará al inventario.</t>
  </si>
  <si>
    <t>Lead time total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</si>
</sst>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name val="Carlito"/>
    </font>
    <font>
      <b/>
      <sz val="14"/>
      <color rgb="FFFFFFFF"/>
      <name val="Carlito"/>
    </font>
    <font>
      <i/>
      <sz val="11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" fontId="0" fillId="5" borderId="2" xfId="0" applyNumberFormat="1" applyFill="1" applyBorder="1" applyAlignment="1">
      <alignment vertical="center" wrapText="1"/>
    </xf>
    <xf numFmtId="2" fontId="0" fillId="5" borderId="2" xfId="0" applyNumberFormat="1" applyFill="1" applyBorder="1" applyAlignment="1">
      <alignment vertical="center" wrapText="1"/>
    </xf>
    <xf numFmtId="2" fontId="0" fillId="5" borderId="3" xfId="0" applyNumberFormat="1" applyFill="1" applyBorder="1" applyAlignment="1">
      <alignment vertical="center" wrapText="1"/>
    </xf>
    <xf numFmtId="2" fontId="0" fillId="6" borderId="1" xfId="0" applyNumberFormat="1" applyFill="1" applyBorder="1" applyAlignment="1">
      <alignment vertical="center" wrapText="1"/>
    </xf>
    <xf numFmtId="1" fontId="0" fillId="5" borderId="0" xfId="0" applyNumberForma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2" fontId="0" fillId="6" borderId="4" xfId="0" applyNumberFormat="1" applyFill="1" applyBorder="1" applyAlignment="1">
      <alignment vertical="center" wrapText="1"/>
    </xf>
    <xf numFmtId="2" fontId="0" fillId="6" borderId="0" xfId="0" applyNumberFormat="1" applyFill="1" applyAlignment="1">
      <alignment vertical="center" wrapText="1"/>
    </xf>
    <xf numFmtId="1" fontId="0" fillId="5" borderId="6" xfId="0" applyNumberFormat="1" applyFill="1" applyBorder="1" applyAlignment="1">
      <alignment vertical="center" wrapText="1"/>
    </xf>
    <xf numFmtId="2" fontId="0" fillId="5" borderId="6" xfId="0" applyNumberFormat="1" applyFill="1" applyBorder="1" applyAlignment="1">
      <alignment vertical="center" wrapText="1"/>
    </xf>
    <xf numFmtId="2" fontId="0" fillId="6" borderId="5" xfId="0" applyNumberFormat="1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 wrapText="1"/>
    </xf>
    <xf numFmtId="164" fontId="0" fillId="5" borderId="0" xfId="0" applyNumberFormat="1" applyFill="1" applyAlignment="1">
      <alignment vertical="center" wrapText="1"/>
    </xf>
    <xf numFmtId="164" fontId="0" fillId="6" borderId="0" xfId="0" applyNumberForma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ont>
        <b/>
      </font>
      <fill>
        <patternFill>
          <bgColor rgb="FFFCE5CD"/>
        </patternFill>
      </fill>
    </dxf>
    <dxf>
      <font>
        <b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topLeftCell="A4" workbookViewId="0">
      <selection activeCell="B32" sqref="B32"/>
    </sheetView>
  </sheetViews>
  <sheetFormatPr baseColWidth="10" defaultColWidth="8.796875" defaultRowHeight="13.8"/>
  <cols>
    <col min="1" max="1" width="24" customWidth="1"/>
    <col min="2" max="3" width="14" customWidth="1"/>
    <col min="4" max="4" width="22" customWidth="1"/>
    <col min="5" max="7" width="20" customWidth="1"/>
    <col min="8" max="9" width="18" customWidth="1"/>
    <col min="10" max="10" width="20" customWidth="1"/>
    <col min="11" max="12" width="22" customWidth="1"/>
  </cols>
  <sheetData>
    <row r="1" spans="1:12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1:12">
      <c r="A2" s="21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ht="41.4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62</v>
      </c>
      <c r="J4" s="1" t="s">
        <v>57</v>
      </c>
      <c r="K4" s="1" t="s">
        <v>10</v>
      </c>
      <c r="L4" s="1" t="s">
        <v>11</v>
      </c>
    </row>
    <row r="5" spans="1:12">
      <c r="A5" s="16" t="s">
        <v>12</v>
      </c>
      <c r="B5" s="5">
        <v>50</v>
      </c>
      <c r="C5" s="5">
        <v>45</v>
      </c>
      <c r="D5" s="17">
        <v>46270</v>
      </c>
      <c r="E5" s="6">
        <v>15</v>
      </c>
      <c r="F5" s="6">
        <v>20</v>
      </c>
      <c r="G5" s="6">
        <v>35</v>
      </c>
      <c r="H5" s="7">
        <v>23</v>
      </c>
      <c r="I5" s="8">
        <f t="shared" ref="I5:I38" si="0">IF(A5="","",F5+G5)</f>
        <v>55</v>
      </c>
      <c r="J5" s="12">
        <f>IF(OR(A5="",E5=0),"",(B5+C5)/E5)</f>
        <v>6.333333333333333</v>
      </c>
      <c r="K5" s="18">
        <f t="shared" ref="K5:K38" si="1">IF(OR(A5="",D5="",J5=""),"",D5+(J5*30))</f>
        <v>46460</v>
      </c>
      <c r="L5" s="18">
        <f>IF(K5="","",K5-90)</f>
        <v>46370</v>
      </c>
    </row>
    <row r="6" spans="1:12">
      <c r="A6" s="16" t="s">
        <v>13</v>
      </c>
      <c r="B6" s="9">
        <v>13</v>
      </c>
      <c r="C6" s="9">
        <v>8</v>
      </c>
      <c r="D6" s="17">
        <v>46270</v>
      </c>
      <c r="E6" s="10">
        <v>5</v>
      </c>
      <c r="F6" s="6">
        <v>20</v>
      </c>
      <c r="G6" s="6">
        <v>35</v>
      </c>
      <c r="H6" s="7">
        <v>7</v>
      </c>
      <c r="I6" s="11">
        <f t="shared" si="0"/>
        <v>55</v>
      </c>
      <c r="J6" s="12">
        <f t="shared" ref="J6:J38" si="2">IF(OR(A6="",E6=0),"",(B6+C6)/E6)</f>
        <v>4.2</v>
      </c>
      <c r="K6" s="18">
        <f t="shared" si="1"/>
        <v>46396</v>
      </c>
      <c r="L6" s="18">
        <f t="shared" ref="L6:L38" si="3">IF(K6="","",K6-90)</f>
        <v>46306</v>
      </c>
    </row>
    <row r="7" spans="1:12">
      <c r="A7" s="16" t="s">
        <v>14</v>
      </c>
      <c r="B7" s="9">
        <v>17</v>
      </c>
      <c r="C7" s="9">
        <v>3</v>
      </c>
      <c r="D7" s="17">
        <v>46270</v>
      </c>
      <c r="E7" s="10">
        <v>5</v>
      </c>
      <c r="F7" s="6">
        <v>20</v>
      </c>
      <c r="G7" s="6">
        <v>35</v>
      </c>
      <c r="H7" s="7">
        <v>7</v>
      </c>
      <c r="I7" s="11">
        <f t="shared" si="0"/>
        <v>55</v>
      </c>
      <c r="J7" s="12">
        <f t="shared" si="2"/>
        <v>4</v>
      </c>
      <c r="K7" s="18">
        <f t="shared" si="1"/>
        <v>46390</v>
      </c>
      <c r="L7" s="18">
        <f t="shared" si="3"/>
        <v>46300</v>
      </c>
    </row>
    <row r="8" spans="1:12">
      <c r="A8" s="16" t="s">
        <v>15</v>
      </c>
      <c r="B8" s="9">
        <v>12</v>
      </c>
      <c r="C8" s="9">
        <v>5</v>
      </c>
      <c r="D8" s="17">
        <v>46270</v>
      </c>
      <c r="E8" s="10">
        <v>5</v>
      </c>
      <c r="F8" s="6">
        <v>20</v>
      </c>
      <c r="G8" s="6">
        <v>35</v>
      </c>
      <c r="H8" s="7">
        <v>7</v>
      </c>
      <c r="I8" s="11">
        <f t="shared" si="0"/>
        <v>55</v>
      </c>
      <c r="J8" s="12">
        <f t="shared" si="2"/>
        <v>3.4</v>
      </c>
      <c r="K8" s="18">
        <f t="shared" si="1"/>
        <v>46372</v>
      </c>
      <c r="L8" s="18">
        <f t="shared" si="3"/>
        <v>46282</v>
      </c>
    </row>
    <row r="9" spans="1:12">
      <c r="A9" s="16" t="s">
        <v>16</v>
      </c>
      <c r="B9" s="9">
        <v>11</v>
      </c>
      <c r="C9" s="9">
        <v>6</v>
      </c>
      <c r="D9" s="17">
        <v>46270</v>
      </c>
      <c r="E9" s="10">
        <v>5</v>
      </c>
      <c r="F9" s="6">
        <v>20</v>
      </c>
      <c r="G9" s="6">
        <v>35</v>
      </c>
      <c r="H9" s="7">
        <v>7</v>
      </c>
      <c r="I9" s="11">
        <f t="shared" si="0"/>
        <v>55</v>
      </c>
      <c r="J9" s="12">
        <f>IF(OR(A9="",E9=0),"",(B9+C9)/E9)</f>
        <v>3.4</v>
      </c>
      <c r="K9" s="18">
        <f t="shared" si="1"/>
        <v>46372</v>
      </c>
      <c r="L9" s="18">
        <f t="shared" si="3"/>
        <v>46282</v>
      </c>
    </row>
    <row r="10" spans="1:12">
      <c r="A10" s="16" t="s">
        <v>17</v>
      </c>
      <c r="B10" s="9">
        <v>14</v>
      </c>
      <c r="C10" s="9">
        <v>5</v>
      </c>
      <c r="D10" s="17">
        <v>46270</v>
      </c>
      <c r="E10" s="10">
        <v>5</v>
      </c>
      <c r="F10" s="6">
        <v>20</v>
      </c>
      <c r="G10" s="6">
        <v>35</v>
      </c>
      <c r="H10" s="7">
        <v>7</v>
      </c>
      <c r="I10" s="11">
        <f t="shared" si="0"/>
        <v>55</v>
      </c>
      <c r="J10" s="12">
        <f t="shared" si="2"/>
        <v>3.8</v>
      </c>
      <c r="K10" s="18">
        <f t="shared" si="1"/>
        <v>46384</v>
      </c>
      <c r="L10" s="18">
        <f t="shared" si="3"/>
        <v>46294</v>
      </c>
    </row>
    <row r="11" spans="1:12">
      <c r="A11" s="16" t="s">
        <v>18</v>
      </c>
      <c r="B11" s="9">
        <v>16</v>
      </c>
      <c r="C11" s="9">
        <v>3</v>
      </c>
      <c r="D11" s="17">
        <v>46270</v>
      </c>
      <c r="E11" s="10">
        <v>5</v>
      </c>
      <c r="F11" s="6">
        <v>20</v>
      </c>
      <c r="G11" s="6">
        <v>35</v>
      </c>
      <c r="H11" s="7">
        <v>7</v>
      </c>
      <c r="I11" s="11">
        <f t="shared" si="0"/>
        <v>55</v>
      </c>
      <c r="J11" s="12">
        <f t="shared" si="2"/>
        <v>3.8</v>
      </c>
      <c r="K11" s="18">
        <f t="shared" si="1"/>
        <v>46384</v>
      </c>
      <c r="L11" s="18">
        <f t="shared" si="3"/>
        <v>46294</v>
      </c>
    </row>
    <row r="12" spans="1:12">
      <c r="A12" s="16" t="s">
        <v>19</v>
      </c>
      <c r="B12" s="9">
        <v>21</v>
      </c>
      <c r="C12" s="9">
        <v>8</v>
      </c>
      <c r="D12" s="17">
        <v>46270</v>
      </c>
      <c r="E12" s="10">
        <v>5</v>
      </c>
      <c r="F12" s="6">
        <v>20</v>
      </c>
      <c r="G12" s="6">
        <v>35</v>
      </c>
      <c r="H12" s="7">
        <v>7</v>
      </c>
      <c r="I12" s="11">
        <f t="shared" si="0"/>
        <v>55</v>
      </c>
      <c r="J12" s="12">
        <f t="shared" si="2"/>
        <v>5.8</v>
      </c>
      <c r="K12" s="18">
        <f t="shared" si="1"/>
        <v>46444</v>
      </c>
      <c r="L12" s="18">
        <f t="shared" si="3"/>
        <v>46354</v>
      </c>
    </row>
    <row r="13" spans="1:12">
      <c r="A13" s="16" t="s">
        <v>20</v>
      </c>
      <c r="B13" s="9">
        <v>13</v>
      </c>
      <c r="C13" s="9">
        <v>3</v>
      </c>
      <c r="D13" s="17">
        <v>46270</v>
      </c>
      <c r="E13" s="10">
        <v>5</v>
      </c>
      <c r="F13" s="6">
        <v>20</v>
      </c>
      <c r="G13" s="6">
        <v>35</v>
      </c>
      <c r="H13" s="7">
        <v>7</v>
      </c>
      <c r="I13" s="11">
        <f t="shared" si="0"/>
        <v>55</v>
      </c>
      <c r="J13" s="12">
        <f t="shared" si="2"/>
        <v>3.2</v>
      </c>
      <c r="K13" s="18">
        <f t="shared" si="1"/>
        <v>46366</v>
      </c>
      <c r="L13" s="18">
        <f t="shared" si="3"/>
        <v>46276</v>
      </c>
    </row>
    <row r="14" spans="1:12">
      <c r="A14" s="16" t="s">
        <v>21</v>
      </c>
      <c r="B14" s="9">
        <v>100</v>
      </c>
      <c r="C14" s="9">
        <v>35</v>
      </c>
      <c r="D14" s="17">
        <v>46270</v>
      </c>
      <c r="E14" s="10">
        <v>10</v>
      </c>
      <c r="F14" s="6">
        <v>20</v>
      </c>
      <c r="G14" s="6">
        <v>35</v>
      </c>
      <c r="H14" s="7">
        <f t="shared" ref="H14:H38" si="4">E14*1.5</f>
        <v>15</v>
      </c>
      <c r="I14" s="11">
        <f t="shared" si="0"/>
        <v>55</v>
      </c>
      <c r="J14" s="12">
        <f t="shared" si="2"/>
        <v>13.5</v>
      </c>
      <c r="K14" s="18">
        <f t="shared" si="1"/>
        <v>46675</v>
      </c>
      <c r="L14" s="18">
        <f t="shared" si="3"/>
        <v>46585</v>
      </c>
    </row>
    <row r="15" spans="1:12">
      <c r="A15" s="16" t="s">
        <v>22</v>
      </c>
      <c r="B15" s="9">
        <v>95</v>
      </c>
      <c r="C15" s="9">
        <v>35</v>
      </c>
      <c r="D15" s="17">
        <v>46270</v>
      </c>
      <c r="E15" s="10">
        <v>15</v>
      </c>
      <c r="F15" s="6">
        <v>20</v>
      </c>
      <c r="G15" s="6">
        <v>35</v>
      </c>
      <c r="H15" s="7">
        <v>23</v>
      </c>
      <c r="I15" s="11">
        <f t="shared" si="0"/>
        <v>55</v>
      </c>
      <c r="J15" s="12">
        <f t="shared" si="2"/>
        <v>8.6666666666666661</v>
      </c>
      <c r="K15" s="18">
        <f t="shared" si="1"/>
        <v>46530</v>
      </c>
      <c r="L15" s="18">
        <f t="shared" si="3"/>
        <v>46440</v>
      </c>
    </row>
    <row r="16" spans="1:12">
      <c r="A16" s="16" t="s">
        <v>23</v>
      </c>
      <c r="B16" s="9">
        <v>98</v>
      </c>
      <c r="C16" s="9">
        <v>35</v>
      </c>
      <c r="D16" s="17">
        <v>46270</v>
      </c>
      <c r="E16" s="10">
        <v>12</v>
      </c>
      <c r="F16" s="6">
        <v>20</v>
      </c>
      <c r="G16" s="6">
        <v>35</v>
      </c>
      <c r="H16" s="7">
        <f t="shared" si="4"/>
        <v>18</v>
      </c>
      <c r="I16" s="11">
        <f t="shared" si="0"/>
        <v>55</v>
      </c>
      <c r="J16" s="12">
        <f t="shared" si="2"/>
        <v>11.083333333333334</v>
      </c>
      <c r="K16" s="18">
        <f t="shared" si="1"/>
        <v>46602.5</v>
      </c>
      <c r="L16" s="18">
        <f t="shared" si="3"/>
        <v>46512.5</v>
      </c>
    </row>
    <row r="17" spans="1:12">
      <c r="A17" s="16" t="s">
        <v>24</v>
      </c>
      <c r="B17" s="9">
        <v>99</v>
      </c>
      <c r="C17" s="9">
        <v>35</v>
      </c>
      <c r="D17" s="17">
        <v>46270</v>
      </c>
      <c r="E17" s="10">
        <v>10</v>
      </c>
      <c r="F17" s="6">
        <v>20</v>
      </c>
      <c r="G17" s="6">
        <v>35</v>
      </c>
      <c r="H17" s="7">
        <f t="shared" si="4"/>
        <v>15</v>
      </c>
      <c r="I17" s="11">
        <f t="shared" si="0"/>
        <v>55</v>
      </c>
      <c r="J17" s="12">
        <f t="shared" si="2"/>
        <v>13.4</v>
      </c>
      <c r="K17" s="18">
        <f t="shared" si="1"/>
        <v>46672</v>
      </c>
      <c r="L17" s="18">
        <f t="shared" si="3"/>
        <v>46582</v>
      </c>
    </row>
    <row r="18" spans="1:12">
      <c r="A18" s="16" t="s">
        <v>25</v>
      </c>
      <c r="B18" s="9">
        <v>110</v>
      </c>
      <c r="C18" s="9">
        <v>35</v>
      </c>
      <c r="D18" s="17">
        <v>46270</v>
      </c>
      <c r="E18" s="10">
        <v>10</v>
      </c>
      <c r="F18" s="6">
        <v>20</v>
      </c>
      <c r="G18" s="6">
        <v>35</v>
      </c>
      <c r="H18" s="7">
        <f t="shared" si="4"/>
        <v>15</v>
      </c>
      <c r="I18" s="11">
        <f t="shared" si="0"/>
        <v>55</v>
      </c>
      <c r="J18" s="12">
        <f t="shared" si="2"/>
        <v>14.5</v>
      </c>
      <c r="K18" s="18">
        <f t="shared" si="1"/>
        <v>46705</v>
      </c>
      <c r="L18" s="18">
        <f t="shared" si="3"/>
        <v>46615</v>
      </c>
    </row>
    <row r="19" spans="1:12">
      <c r="A19" s="16" t="s">
        <v>26</v>
      </c>
      <c r="B19" s="9">
        <v>14</v>
      </c>
      <c r="C19" s="9">
        <v>4</v>
      </c>
      <c r="D19" s="17">
        <v>46270</v>
      </c>
      <c r="E19" s="10">
        <v>2</v>
      </c>
      <c r="F19" s="6">
        <v>20</v>
      </c>
      <c r="G19" s="6">
        <v>35</v>
      </c>
      <c r="H19" s="7">
        <f t="shared" si="4"/>
        <v>3</v>
      </c>
      <c r="I19" s="11">
        <f t="shared" si="0"/>
        <v>55</v>
      </c>
      <c r="J19" s="12">
        <f t="shared" si="2"/>
        <v>9</v>
      </c>
      <c r="K19" s="18">
        <f t="shared" si="1"/>
        <v>46540</v>
      </c>
      <c r="L19" s="18">
        <f t="shared" si="3"/>
        <v>46450</v>
      </c>
    </row>
    <row r="20" spans="1:12">
      <c r="A20" s="16" t="s">
        <v>27</v>
      </c>
      <c r="B20" s="9">
        <v>13</v>
      </c>
      <c r="C20" s="9">
        <v>6</v>
      </c>
      <c r="D20" s="17">
        <v>46270</v>
      </c>
      <c r="E20" s="10">
        <v>2</v>
      </c>
      <c r="F20" s="6">
        <v>20</v>
      </c>
      <c r="G20" s="6">
        <v>35</v>
      </c>
      <c r="H20" s="7">
        <f t="shared" si="4"/>
        <v>3</v>
      </c>
      <c r="I20" s="11">
        <f t="shared" si="0"/>
        <v>55</v>
      </c>
      <c r="J20" s="12">
        <f t="shared" si="2"/>
        <v>9.5</v>
      </c>
      <c r="K20" s="18">
        <f t="shared" si="1"/>
        <v>46555</v>
      </c>
      <c r="L20" s="18">
        <f t="shared" si="3"/>
        <v>46465</v>
      </c>
    </row>
    <row r="21" spans="1:12">
      <c r="A21" s="16" t="s">
        <v>28</v>
      </c>
      <c r="B21" s="9">
        <v>5</v>
      </c>
      <c r="C21" s="9">
        <v>7</v>
      </c>
      <c r="D21" s="17">
        <v>46270</v>
      </c>
      <c r="E21" s="10">
        <v>2</v>
      </c>
      <c r="F21" s="6">
        <v>20</v>
      </c>
      <c r="G21" s="6">
        <v>35</v>
      </c>
      <c r="H21" s="7">
        <f t="shared" si="4"/>
        <v>3</v>
      </c>
      <c r="I21" s="11">
        <f t="shared" ref="I21:I29" si="5">IF(A21="","",F21+G21)</f>
        <v>55</v>
      </c>
      <c r="J21" s="12">
        <f t="shared" ref="J21:J29" si="6">IF(OR(A21="",E21=0),"",(B21+C21)/E21)</f>
        <v>6</v>
      </c>
      <c r="K21" s="18">
        <f t="shared" si="1"/>
        <v>46450</v>
      </c>
      <c r="L21" s="18">
        <f t="shared" si="3"/>
        <v>46360</v>
      </c>
    </row>
    <row r="22" spans="1:12">
      <c r="A22" s="16" t="s">
        <v>29</v>
      </c>
      <c r="B22" s="9">
        <v>7</v>
      </c>
      <c r="C22" s="9">
        <v>2</v>
      </c>
      <c r="D22" s="17">
        <v>46270</v>
      </c>
      <c r="E22" s="10">
        <v>2</v>
      </c>
      <c r="F22" s="6">
        <v>20</v>
      </c>
      <c r="G22" s="6">
        <v>35</v>
      </c>
      <c r="H22" s="7">
        <f t="shared" si="4"/>
        <v>3</v>
      </c>
      <c r="I22" s="11">
        <f t="shared" si="5"/>
        <v>55</v>
      </c>
      <c r="J22" s="12">
        <f t="shared" si="6"/>
        <v>4.5</v>
      </c>
      <c r="K22" s="18">
        <f t="shared" si="1"/>
        <v>46405</v>
      </c>
      <c r="L22" s="18">
        <f t="shared" si="3"/>
        <v>46315</v>
      </c>
    </row>
    <row r="23" spans="1:12">
      <c r="A23" s="16" t="s">
        <v>30</v>
      </c>
      <c r="B23" s="9">
        <v>4</v>
      </c>
      <c r="C23" s="9">
        <v>12</v>
      </c>
      <c r="D23" s="17">
        <v>46270</v>
      </c>
      <c r="E23" s="10">
        <v>2</v>
      </c>
      <c r="F23" s="6">
        <v>20</v>
      </c>
      <c r="G23" s="6">
        <v>35</v>
      </c>
      <c r="H23" s="7">
        <f t="shared" si="4"/>
        <v>3</v>
      </c>
      <c r="I23" s="11">
        <f t="shared" si="5"/>
        <v>55</v>
      </c>
      <c r="J23" s="12">
        <f t="shared" si="6"/>
        <v>8</v>
      </c>
      <c r="K23" s="18">
        <f t="shared" si="1"/>
        <v>46510</v>
      </c>
      <c r="L23" s="18">
        <f t="shared" si="3"/>
        <v>46420</v>
      </c>
    </row>
    <row r="24" spans="1:12">
      <c r="A24" s="16" t="s">
        <v>31</v>
      </c>
      <c r="B24" s="9">
        <v>58</v>
      </c>
      <c r="C24" s="9">
        <v>0</v>
      </c>
      <c r="D24" s="17">
        <v>46270</v>
      </c>
      <c r="E24" s="10">
        <v>8</v>
      </c>
      <c r="F24" s="6">
        <v>20</v>
      </c>
      <c r="G24" s="6">
        <v>35</v>
      </c>
      <c r="H24" s="7">
        <f t="shared" si="4"/>
        <v>12</v>
      </c>
      <c r="I24" s="11">
        <f t="shared" si="5"/>
        <v>55</v>
      </c>
      <c r="J24" s="12">
        <f t="shared" si="6"/>
        <v>7.25</v>
      </c>
      <c r="K24" s="18">
        <f t="shared" si="1"/>
        <v>46487.5</v>
      </c>
      <c r="L24" s="18">
        <f t="shared" si="3"/>
        <v>46397.5</v>
      </c>
    </row>
    <row r="25" spans="1:12">
      <c r="A25" s="16" t="s">
        <v>32</v>
      </c>
      <c r="B25" s="9">
        <v>3</v>
      </c>
      <c r="C25" s="9">
        <v>1</v>
      </c>
      <c r="D25" s="17">
        <v>46270</v>
      </c>
      <c r="E25" s="10">
        <v>1</v>
      </c>
      <c r="F25" s="6">
        <v>20</v>
      </c>
      <c r="G25" s="6">
        <v>35</v>
      </c>
      <c r="H25" s="7">
        <v>2</v>
      </c>
      <c r="I25" s="11">
        <f t="shared" si="5"/>
        <v>55</v>
      </c>
      <c r="J25" s="12">
        <f t="shared" si="6"/>
        <v>4</v>
      </c>
      <c r="K25" s="18">
        <f t="shared" si="1"/>
        <v>46390</v>
      </c>
      <c r="L25" s="18">
        <f t="shared" si="3"/>
        <v>46300</v>
      </c>
    </row>
    <row r="26" spans="1:12">
      <c r="A26" s="16" t="s">
        <v>33</v>
      </c>
      <c r="B26" s="9">
        <v>35</v>
      </c>
      <c r="C26" s="9">
        <v>10</v>
      </c>
      <c r="D26" s="17">
        <v>46270</v>
      </c>
      <c r="E26" s="10">
        <v>5</v>
      </c>
      <c r="F26" s="6">
        <v>20</v>
      </c>
      <c r="G26" s="6">
        <v>35</v>
      </c>
      <c r="H26" s="7">
        <v>8</v>
      </c>
      <c r="I26" s="11">
        <f t="shared" si="5"/>
        <v>55</v>
      </c>
      <c r="J26" s="12">
        <f t="shared" si="6"/>
        <v>9</v>
      </c>
      <c r="K26" s="18">
        <f t="shared" si="1"/>
        <v>46540</v>
      </c>
      <c r="L26" s="18">
        <f t="shared" si="3"/>
        <v>46450</v>
      </c>
    </row>
    <row r="27" spans="1:12">
      <c r="A27" s="16" t="s">
        <v>34</v>
      </c>
      <c r="B27" s="9">
        <v>21</v>
      </c>
      <c r="C27" s="9">
        <v>5</v>
      </c>
      <c r="D27" s="17">
        <v>46270</v>
      </c>
      <c r="E27" s="10">
        <v>3</v>
      </c>
      <c r="F27" s="6">
        <v>20</v>
      </c>
      <c r="G27" s="6">
        <v>35</v>
      </c>
      <c r="H27" s="7">
        <v>5</v>
      </c>
      <c r="I27" s="11">
        <f t="shared" si="5"/>
        <v>55</v>
      </c>
      <c r="J27" s="12">
        <f t="shared" si="6"/>
        <v>8.6666666666666661</v>
      </c>
      <c r="K27" s="18">
        <f t="shared" si="1"/>
        <v>46530</v>
      </c>
      <c r="L27" s="18">
        <f t="shared" si="3"/>
        <v>46440</v>
      </c>
    </row>
    <row r="28" spans="1:12">
      <c r="A28" s="16" t="s">
        <v>35</v>
      </c>
      <c r="B28" s="9">
        <v>20</v>
      </c>
      <c r="C28" s="9">
        <v>5</v>
      </c>
      <c r="D28" s="17">
        <v>46270</v>
      </c>
      <c r="E28" s="10">
        <v>3</v>
      </c>
      <c r="F28" s="6">
        <v>20</v>
      </c>
      <c r="G28" s="6">
        <v>35</v>
      </c>
      <c r="H28" s="7">
        <v>5</v>
      </c>
      <c r="I28" s="11">
        <f t="shared" si="5"/>
        <v>55</v>
      </c>
      <c r="J28" s="12">
        <f t="shared" si="6"/>
        <v>8.3333333333333339</v>
      </c>
      <c r="K28" s="18">
        <f t="shared" si="1"/>
        <v>46520</v>
      </c>
      <c r="L28" s="18">
        <f t="shared" si="3"/>
        <v>46430</v>
      </c>
    </row>
    <row r="29" spans="1:12">
      <c r="A29" s="16" t="s">
        <v>36</v>
      </c>
      <c r="B29" s="13">
        <v>20</v>
      </c>
      <c r="C29" s="13">
        <v>5</v>
      </c>
      <c r="D29" s="17">
        <v>46270</v>
      </c>
      <c r="E29" s="14">
        <v>3</v>
      </c>
      <c r="F29" s="6">
        <v>20</v>
      </c>
      <c r="G29" s="6">
        <v>35</v>
      </c>
      <c r="H29" s="7">
        <v>5</v>
      </c>
      <c r="I29" s="15">
        <f t="shared" si="5"/>
        <v>55</v>
      </c>
      <c r="J29" s="12">
        <f t="shared" si="6"/>
        <v>8.3333333333333339</v>
      </c>
      <c r="K29" s="18">
        <f t="shared" si="1"/>
        <v>46520</v>
      </c>
      <c r="L29" s="18">
        <f t="shared" si="3"/>
        <v>46430</v>
      </c>
    </row>
    <row r="30" spans="1:12">
      <c r="A30" s="16" t="s">
        <v>37</v>
      </c>
      <c r="B30" s="9">
        <v>20</v>
      </c>
      <c r="C30" s="9">
        <v>5</v>
      </c>
      <c r="D30" s="17">
        <v>46270</v>
      </c>
      <c r="E30" s="10">
        <v>3</v>
      </c>
      <c r="F30" s="6">
        <v>20</v>
      </c>
      <c r="G30" s="6">
        <v>35</v>
      </c>
      <c r="H30" s="7">
        <v>5</v>
      </c>
      <c r="I30" s="11">
        <f t="shared" si="0"/>
        <v>55</v>
      </c>
      <c r="J30" s="12">
        <f t="shared" si="2"/>
        <v>8.3333333333333339</v>
      </c>
      <c r="K30" s="18">
        <f t="shared" si="1"/>
        <v>46520</v>
      </c>
      <c r="L30" s="18">
        <f t="shared" si="3"/>
        <v>46430</v>
      </c>
    </row>
    <row r="31" spans="1:12">
      <c r="A31" s="16" t="s">
        <v>38</v>
      </c>
      <c r="B31" s="9">
        <v>30</v>
      </c>
      <c r="C31" s="9">
        <v>5</v>
      </c>
      <c r="D31" s="17">
        <v>46270</v>
      </c>
      <c r="E31" s="10">
        <v>5</v>
      </c>
      <c r="F31" s="6">
        <v>20</v>
      </c>
      <c r="G31" s="6">
        <v>35</v>
      </c>
      <c r="H31" s="7">
        <v>8</v>
      </c>
      <c r="I31" s="11">
        <f t="shared" si="0"/>
        <v>55</v>
      </c>
      <c r="J31" s="12">
        <f t="shared" si="2"/>
        <v>7</v>
      </c>
      <c r="K31" s="18">
        <f t="shared" si="1"/>
        <v>46480</v>
      </c>
      <c r="L31" s="18">
        <f t="shared" si="3"/>
        <v>46390</v>
      </c>
    </row>
    <row r="32" spans="1:12">
      <c r="A32" s="16" t="s">
        <v>39</v>
      </c>
      <c r="B32" s="9">
        <v>4</v>
      </c>
      <c r="C32" s="9">
        <v>1</v>
      </c>
      <c r="D32" s="17">
        <v>46270</v>
      </c>
      <c r="E32" s="10">
        <v>1</v>
      </c>
      <c r="F32" s="6">
        <v>20</v>
      </c>
      <c r="G32" s="6">
        <v>35</v>
      </c>
      <c r="H32" s="7">
        <v>2</v>
      </c>
      <c r="I32" s="11">
        <f t="shared" si="0"/>
        <v>55</v>
      </c>
      <c r="J32" s="12">
        <f t="shared" si="2"/>
        <v>5</v>
      </c>
      <c r="K32" s="18">
        <f t="shared" si="1"/>
        <v>46420</v>
      </c>
      <c r="L32" s="18">
        <f t="shared" si="3"/>
        <v>46330</v>
      </c>
    </row>
    <row r="33" spans="1:12">
      <c r="A33" s="16" t="s">
        <v>40</v>
      </c>
      <c r="B33" s="9">
        <v>5</v>
      </c>
      <c r="C33" s="9">
        <v>5</v>
      </c>
      <c r="D33" s="17">
        <v>46270</v>
      </c>
      <c r="E33" s="10">
        <v>2</v>
      </c>
      <c r="F33" s="6">
        <v>20</v>
      </c>
      <c r="G33" s="6">
        <v>35</v>
      </c>
      <c r="H33" s="7">
        <f t="shared" si="4"/>
        <v>3</v>
      </c>
      <c r="I33" s="11">
        <f t="shared" si="0"/>
        <v>55</v>
      </c>
      <c r="J33" s="12">
        <f t="shared" si="2"/>
        <v>5</v>
      </c>
      <c r="K33" s="18">
        <f t="shared" si="1"/>
        <v>46420</v>
      </c>
      <c r="L33" s="18">
        <f t="shared" si="3"/>
        <v>46330</v>
      </c>
    </row>
    <row r="34" spans="1:12">
      <c r="A34" s="16" t="s">
        <v>41</v>
      </c>
      <c r="B34" s="9">
        <v>5</v>
      </c>
      <c r="C34" s="9">
        <v>5</v>
      </c>
      <c r="D34" s="17">
        <v>46270</v>
      </c>
      <c r="E34" s="10">
        <v>2</v>
      </c>
      <c r="F34" s="6">
        <v>20</v>
      </c>
      <c r="G34" s="6">
        <v>35</v>
      </c>
      <c r="H34" s="7">
        <f t="shared" si="4"/>
        <v>3</v>
      </c>
      <c r="I34" s="11">
        <f t="shared" si="0"/>
        <v>55</v>
      </c>
      <c r="J34" s="12">
        <f t="shared" si="2"/>
        <v>5</v>
      </c>
      <c r="K34" s="18">
        <f t="shared" si="1"/>
        <v>46420</v>
      </c>
      <c r="L34" s="18">
        <f t="shared" si="3"/>
        <v>46330</v>
      </c>
    </row>
    <row r="35" spans="1:12">
      <c r="A35" s="16" t="s">
        <v>42</v>
      </c>
      <c r="B35" s="9">
        <v>5</v>
      </c>
      <c r="C35" s="9">
        <v>7</v>
      </c>
      <c r="D35" s="17">
        <v>46270</v>
      </c>
      <c r="E35" s="10">
        <v>3</v>
      </c>
      <c r="F35" s="6">
        <v>20</v>
      </c>
      <c r="G35" s="6">
        <v>35</v>
      </c>
      <c r="H35" s="7">
        <v>5</v>
      </c>
      <c r="I35" s="11">
        <f t="shared" si="0"/>
        <v>55</v>
      </c>
      <c r="J35" s="12">
        <f t="shared" si="2"/>
        <v>4</v>
      </c>
      <c r="K35" s="18">
        <f t="shared" si="1"/>
        <v>46390</v>
      </c>
      <c r="L35" s="18">
        <f t="shared" si="3"/>
        <v>46300</v>
      </c>
    </row>
    <row r="36" spans="1:12">
      <c r="A36" s="16" t="s">
        <v>43</v>
      </c>
      <c r="B36" s="9">
        <v>5</v>
      </c>
      <c r="C36" s="9">
        <v>7</v>
      </c>
      <c r="D36" s="17">
        <v>46270</v>
      </c>
      <c r="E36" s="10">
        <v>3</v>
      </c>
      <c r="F36" s="6">
        <v>20</v>
      </c>
      <c r="G36" s="6">
        <v>35</v>
      </c>
      <c r="H36" s="7">
        <v>5</v>
      </c>
      <c r="I36" s="11">
        <f t="shared" si="0"/>
        <v>55</v>
      </c>
      <c r="J36" s="12">
        <f t="shared" si="2"/>
        <v>4</v>
      </c>
      <c r="K36" s="18">
        <f t="shared" si="1"/>
        <v>46390</v>
      </c>
      <c r="L36" s="18">
        <f t="shared" si="3"/>
        <v>46300</v>
      </c>
    </row>
    <row r="37" spans="1:12">
      <c r="A37" s="16" t="s">
        <v>44</v>
      </c>
      <c r="B37" s="9">
        <v>5</v>
      </c>
      <c r="C37" s="9">
        <v>7</v>
      </c>
      <c r="D37" s="17">
        <v>46270</v>
      </c>
      <c r="E37" s="10">
        <v>3</v>
      </c>
      <c r="F37" s="6">
        <v>20</v>
      </c>
      <c r="G37" s="6">
        <v>35</v>
      </c>
      <c r="H37" s="7">
        <v>5</v>
      </c>
      <c r="I37" s="11">
        <f>IF(A37="","",F37+G37)</f>
        <v>55</v>
      </c>
      <c r="J37" s="12">
        <f>IF(OR(A37="",E37=0),"",(B37+C37)/E37)</f>
        <v>4</v>
      </c>
      <c r="K37" s="18">
        <f t="shared" si="1"/>
        <v>46390</v>
      </c>
      <c r="L37" s="18">
        <f t="shared" si="3"/>
        <v>46300</v>
      </c>
    </row>
    <row r="38" spans="1:12">
      <c r="A38" s="16" t="s">
        <v>45</v>
      </c>
      <c r="B38" s="13">
        <v>80</v>
      </c>
      <c r="C38" s="13">
        <v>0</v>
      </c>
      <c r="D38" s="17">
        <v>46270</v>
      </c>
      <c r="E38" s="14">
        <v>8</v>
      </c>
      <c r="F38" s="6">
        <v>20</v>
      </c>
      <c r="G38" s="6">
        <v>35</v>
      </c>
      <c r="H38" s="7">
        <f t="shared" si="4"/>
        <v>12</v>
      </c>
      <c r="I38" s="15">
        <f t="shared" si="0"/>
        <v>55</v>
      </c>
      <c r="J38" s="12">
        <f t="shared" si="2"/>
        <v>10</v>
      </c>
      <c r="K38" s="18">
        <f t="shared" si="1"/>
        <v>46570</v>
      </c>
      <c r="L38" s="18">
        <f t="shared" si="3"/>
        <v>46480</v>
      </c>
    </row>
  </sheetData>
  <mergeCells count="2">
    <mergeCell ref="A1:L1"/>
    <mergeCell ref="A2:L2"/>
  </mergeCells>
  <conditionalFormatting sqref="L5:L38">
    <cfRule type="expression" dxfId="1" priority="1">
      <formula>AND($L5&lt;TODAY(),$L5&lt;&gt;"")</formula>
    </cfRule>
    <cfRule type="expression" dxfId="0" priority="2">
      <formula>AND($L5&gt;=TODAY(),$L5&lt;=TODAY()+7)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796875" defaultRowHeight="13.8"/>
  <cols>
    <col min="1" max="1" width="30" customWidth="1"/>
    <col min="2" max="2" width="60" customWidth="1"/>
  </cols>
  <sheetData>
    <row r="1" spans="1:2">
      <c r="A1" s="2" t="s">
        <v>46</v>
      </c>
      <c r="B1" s="2" t="s">
        <v>47</v>
      </c>
    </row>
    <row r="2" spans="1:2">
      <c r="A2" s="3" t="s">
        <v>2</v>
      </c>
      <c r="B2" s="3" t="s">
        <v>48</v>
      </c>
    </row>
    <row r="3" spans="1:2">
      <c r="A3" s="3" t="s">
        <v>3</v>
      </c>
      <c r="B3" s="3" t="s">
        <v>49</v>
      </c>
    </row>
    <row r="4" spans="1:2">
      <c r="A4" s="3" t="s">
        <v>4</v>
      </c>
      <c r="B4" s="3" t="s">
        <v>50</v>
      </c>
    </row>
    <row r="5" spans="1:2">
      <c r="A5" s="3" t="s">
        <v>5</v>
      </c>
      <c r="B5" s="3" t="s">
        <v>51</v>
      </c>
    </row>
    <row r="6" spans="1:2">
      <c r="A6" s="3" t="s">
        <v>52</v>
      </c>
      <c r="B6" s="3" t="s">
        <v>53</v>
      </c>
    </row>
    <row r="7" spans="1:2">
      <c r="A7" s="3" t="s">
        <v>7</v>
      </c>
      <c r="B7" s="3" t="s">
        <v>54</v>
      </c>
    </row>
    <row r="8" spans="1:2">
      <c r="A8" s="3" t="s">
        <v>8</v>
      </c>
      <c r="B8" s="3" t="s">
        <v>55</v>
      </c>
    </row>
    <row r="9" spans="1:2">
      <c r="A9" s="3" t="s">
        <v>9</v>
      </c>
      <c r="B9" s="3" t="s">
        <v>56</v>
      </c>
    </row>
    <row r="10" spans="1:2" ht="27.6">
      <c r="A10" s="3" t="s">
        <v>58</v>
      </c>
      <c r="B10" s="3" t="s">
        <v>59</v>
      </c>
    </row>
    <row r="11" spans="1:2" ht="27.6">
      <c r="A11" s="3" t="s">
        <v>60</v>
      </c>
      <c r="B11" s="3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Stock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Melisa Clark</cp:lastModifiedBy>
  <dcterms:modified xsi:type="dcterms:W3CDTF">2026-09-03T23:53:02Z</dcterms:modified>
</cp:coreProperties>
</file>