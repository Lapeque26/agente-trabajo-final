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b613a4b69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99c431aa84ef4bdb"/>
    <x:sheet xmlns:r="http://schemas.openxmlformats.org/officeDocument/2006/relationships" name="Instrucciones" sheetId="2" r:id="R5d3473159f084f35"/>
  </x:sheets>
</x:workbook>
</file>

<file path=xl/sharedStrings.xml><?xml version="1.0" encoding="utf-8"?>
<x:sst xmlns:x="http://schemas.openxmlformats.org/spreadsheetml/2006/main">
  <x:si>
    <x:t xml:space="preserve">Plantilla de planificación de reposición de stock</x:t>
  </x:si>
  <x:si>
    <x:t xml:space="preserve">Completar únicamente las columnas A a H. Las columnas I a M se calculan automáticamente.</x:t>
  </x:si>
  <x:si>
    <x:t xml:space="preserve">Producto</x:t>
  </x:si>
  <x:si>
    <x:t xml:space="preserve">Stock actual</x:t>
  </x:si>
  <x:si>
    <x:t xml:space="preserve">Stock en tránsito</x:t>
  </x:si>
  <x:si>
    <x:t xml:space="preserve">Fecha estimada llegada tránsito</x:t>
  </x:si>
  <x:si>
    <x:t xml:space="preserve">Consumo promedio Mensual</x:t>
  </x:si>
  <x:si>
    <x:t xml:space="preserve">Tiempo fabricación (días)</x:t>
  </x:si>
  <x:si>
    <x:t xml:space="preserve">Tiempo tránsito (días)</x:t>
  </x:si>
  <x:si>
    <x:t xml:space="preserve">Stock de seguridad</x:t>
  </x:si>
  <x:si>
    <x:t xml:space="preserve">Lead time total DIAS</x:t>
  </x:si>
  <x:si>
    <x:t xml:space="preserve">Cobertura stock total (Meses)</x:t>
  </x:si>
  <x:si>
    <x:t xml:space="preserve">Fecha estimada de quiebre</x:t>
  </x:si>
  <x:si>
    <x:t xml:space="preserve">Fecha límite sugerida de pedido - 90 dias antes</x:t>
  </x:si>
  <x:si>
    <x:t xml:space="preserve">T900</x:t>
  </x:si>
  <x:si>
    <x:t xml:space="preserve">V900</x:t>
  </x:si>
  <x:si>
    <x:t xml:space="preserve">R850</x:t>
  </x:si>
  <x:si>
    <x:t xml:space="preserve">H950</x:t>
  </x:si>
  <x:si>
    <x:t xml:space="preserve">K950</x:t>
  </x:si>
  <x:si>
    <x:t xml:space="preserve">W950</x:t>
  </x:si>
  <x:si>
    <x:t xml:space="preserve">M900</x:t>
  </x:si>
  <x:si>
    <x:t xml:space="preserve">C900</x:t>
  </x:si>
  <x:si>
    <x:t xml:space="preserve">D900</x:t>
  </x:si>
  <x:si>
    <x:t xml:space="preserve">B36</x:t>
  </x:si>
  <x:si>
    <x:t xml:space="preserve">C36</x:t>
  </x:si>
  <x:si>
    <x:t xml:space="preserve">M36</x:t>
  </x:si>
  <x:si>
    <x:t xml:space="preserve">Y36</x:t>
  </x:si>
  <x:si>
    <x:t xml:space="preserve">N36</x:t>
  </x:si>
  <x:si>
    <x:t xml:space="preserve">BA36</x:t>
  </x:si>
  <x:si>
    <x:t xml:space="preserve">VS36</x:t>
  </x:si>
  <x:si>
    <x:t xml:space="preserve">H230</x:t>
  </x:si>
  <x:si>
    <x:t xml:space="preserve">M230</x:t>
  </x:si>
  <x:si>
    <x:t xml:space="preserve">F361</x:t>
  </x:si>
  <x:si>
    <x:t xml:space="preserve">R36</x:t>
  </x:si>
  <x:si>
    <x:t xml:space="preserve">RM1480</x:t>
  </x:si>
  <x:si>
    <x:t xml:space="preserve">N62</x:t>
  </x:si>
  <x:si>
    <x:t xml:space="preserve">T75</x:t>
  </x:si>
  <x:si>
    <x:t xml:space="preserve">B75</x:t>
  </x:si>
  <x:si>
    <x:t xml:space="preserve">C75</x:t>
  </x:si>
  <x:si>
    <x:t xml:space="preserve">M75</x:t>
  </x:si>
  <x:si>
    <x:t xml:space="preserve">T754</x:t>
  </x:si>
  <x:si>
    <x:t xml:space="preserve">D754</x:t>
  </x:si>
  <x:si>
    <x:t xml:space="preserve">T312</x:t>
  </x:si>
  <x:si>
    <x:t xml:space="preserve">V312</x:t>
  </x:si>
  <x:si>
    <x:t xml:space="preserve">T315</x:t>
  </x:si>
  <x:si>
    <x:t xml:space="preserve">V315</x:t>
  </x:si>
  <x:si>
    <x:t xml:space="preserve">H313</x:t>
  </x:si>
  <x:si>
    <x:t xml:space="preserve">T561</x:t>
  </x:si>
  <x:si>
    <x:t xml:space="preserve">Campo</x:t>
  </x:si>
  <x:si>
    <x:t xml:space="preserve">Qué completar</x:t>
  </x:si>
  <x:si>
    <x:t xml:space="preserve">Nombre o código del producto.</x:t>
  </x:si>
  <x:si>
    <x:t xml:space="preserve">Unidades disponibles hoy.</x:t>
  </x:si>
  <x:si>
    <x:t xml:space="preserve">Unidades ya pedidas que todavía no llegaron.</x:t>
  </x:si>
  <x:si>
    <x:t xml:space="preserve">Fecha prevista de llegada del stock en tránsito.</x:t>
  </x:si>
  <x:si>
    <x:t xml:space="preserve">Días que tarda el proveedor en fabricar/preparar el pedido.</x:t>
  </x:si>
  <x:si>
    <x:t xml:space="preserve">Días desde despacho hasta recepción.</x:t>
  </x:si>
  <x:si>
    <x:t xml:space="preserve">Unidades que querés mantener como colchón mínimo.</x:t>
  </x:si>
  <x:si>
    <x:t xml:space="preserve">Cobertura stock total</x:t>
  </x:si>
  <x:si>
    <x:t xml:space="preserve">Se calcula como (stock actual + stock en tránsito) / consumo promedio mensual.</x:t>
  </x:si>
  <x:si>
    <x:t xml:space="preserve">Importante</x:t>
  </x:si>
  <x:si>
    <x:t xml:space="preserve">El stock en tránsito se incluye en la cobertura total porque representa mercadería ya pedida que se incorporará al inventario.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</x:si>
</x:sst>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7">
    <x:border/>
    <x:border/>
    <x:border/>
    <x:border/>
    <x:border/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3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1" fontId="0" fillId="5" borderId="2" xfId="0" applyNumberFormat="1" applyFill="1" applyBorder="1" applyAlignment="1">
      <x:alignment vertical="center" wrapText="1"/>
    </x:xf>
    <x:xf numFmtId="2" fontId="0" fillId="5" borderId="2" xfId="0" applyNumberFormat="1" applyFill="1" applyBorder="1" applyAlignment="1">
      <x:alignment vertical="center" wrapText="1"/>
    </x:xf>
    <x:xf numFmtId="2" fontId="0" fillId="5" borderId="3" xfId="0" applyNumberFormat="1" applyFill="1" applyBorder="1" applyAlignment="1">
      <x:alignment vertical="center" wrapText="1"/>
    </x:xf>
    <x:xf numFmtId="2" fontId="0" fillId="6" borderId="1" xfId="0" applyNumberFormat="1" applyFill="1" applyBorder="1" applyAlignment="1">
      <x:alignment vertical="center" wrapText="1"/>
    </x:xf>
    <x:xf numFmtId="1" fontId="0" fillId="5" borderId="0" xfId="0" applyNumberFormat="1" applyFill="1" applyAlignment="1">
      <x:alignment vertical="center" wrapText="1"/>
    </x:xf>
    <x:xf numFmtId="2" fontId="0" fillId="5" borderId="0" xfId="0" applyNumberFormat="1" applyFill="1" applyAlignment="1">
      <x:alignment vertical="center" wrapText="1"/>
    </x:xf>
    <x:xf numFmtId="2" fontId="0" fillId="6" borderId="4" xfId="0" applyNumberFormat="1" applyFill="1" applyBorder="1" applyAlignment="1">
      <x:alignment vertical="center" wrapText="1"/>
    </x:xf>
    <x:xf numFmtId="2" fontId="0" fillId="6" borderId="0" xfId="0" applyNumberFormat="1" applyFill="1" applyAlignment="1">
      <x:alignment vertical="center" wrapText="1"/>
    </x:xf>
    <x:xf numFmtId="1" fontId="0" fillId="5" borderId="6" xfId="0" applyNumberFormat="1" applyFill="1" applyBorder="1" applyAlignment="1">
      <x:alignment vertical="center" wrapText="1"/>
    </x:xf>
    <x:xf numFmtId="2" fontId="0" fillId="5" borderId="6" xfId="0" applyNumberFormat="1" applyFill="1" applyBorder="1" applyAlignment="1">
      <x:alignment vertical="center" wrapText="1"/>
    </x:xf>
    <x:xf numFmtId="2" fontId="0" fillId="6" borderId="5" xfId="0" applyNumberFormat="1" applyFill="1" applyBorder="1" applyAlignment="1">
      <x:alignment vertical="center" wrapText="1"/>
    </x:xf>
    <x:xf numFmtId="0" fontId="0" fillId="5" borderId="1" xfId="0" applyFill="1" applyBorder="1" applyAlignment="1">
      <x:alignment horizontal="center" vertical="center" wrapText="1"/>
    </x:xf>
    <x:xf numFmtId="164" fontId="0" fillId="5" borderId="0" xfId="0" applyNumberFormat="1" applyFill="1" applyAlignment="1">
      <x:alignment vertical="center" wrapText="1"/>
    </x:xf>
    <x:xf numFmtId="164" fontId="0" fillId="6" borderId="0" xfId="0" applyNumberFormat="1" applyFill="1" applyAlignment="1">
      <x:alignment vertical="center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2" fillId="3" borderId="0" xfId="0" applyFont="1" applyFill="1" applyAlignment="1">
      <x:alignment horizontal="left" vertical="center" wrapText="1"/>
    </x:xf>
  </x:cellXfs>
  <x:cellStyles count="1">
    <x:cellStyle name="Normal" xfId="0"/>
  </x:cellStyles>
  <x:dxfs count="2"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6f6d82d204d70" /><Relationship Type="http://schemas.openxmlformats.org/officeDocument/2006/relationships/theme" Target="/xl/theme/theme1.xml" Id="R66df5987793c4a21" /><Relationship Type="http://schemas.openxmlformats.org/officeDocument/2006/relationships/sharedStrings" Target="/xl/sharedStrings.xml" Id="R5ca4aeccf3014242" /><Relationship Type="http://schemas.openxmlformats.org/officeDocument/2006/relationships/worksheet" Target="/xl/worksheets/sheet1.xml" Id="R99c431aa84ef4bdb" /><Relationship Type="http://schemas.openxmlformats.org/officeDocument/2006/relationships/worksheet" Target="/xl/worksheets/sheet2.xml" Id="R5d3473159f08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24" customWidth="1"/>
    <x:col min="2" max="3" width="14" customWidth="1"/>
    <x:col min="4" max="4" width="22" customWidth="1"/>
    <x:col min="5" max="7" width="20" customWidth="1"/>
    <x:col min="8" max="9" width="18" customWidth="1"/>
    <x:col min="10" max="10" width="20" customWidth="1"/>
    <x:col min="11" max="12" width="22" customWidth="1"/>
  </x:cols>
  <x:sheetData>
    <x:row r="1">
      <x:c r="A1" s="19" t="s">
        <x:v>0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>
      <x:c r="A2" s="21" t="s">
        <x:v>1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41.400001525878906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</x:row>
    <x:row r="5">
      <x:c r="A5" s="16" t="s">
        <x:v>14</x:v>
      </x:c>
      <x:c r="B5" s="5">
        <x:v>50</x:v>
      </x:c>
      <x:c r="C5" s="5">
        <x:v>45</x:v>
      </x:c>
      <x:c r="D5" s="17">
        <x:v>46270</x:v>
      </x:c>
      <x:c r="E5" s="6">
        <x:v>15</x:v>
      </x:c>
      <x:c r="F5" s="6">
        <x:v>20</x:v>
      </x:c>
      <x:c r="G5" s="6">
        <x:v>35</x:v>
      </x:c>
      <x:c r="H5" s="7">
        <x:v>23</x:v>
      </x:c>
      <x:c r="I5" s="8" t="n">
        <x:f t="shared" ref="I5:I38" si="0">IF(A5="","",F5+G5)</x:f>
        <x:v>55</x:v>
      </x:c>
      <x:c r="J5" s="12" t="n">
        <x:f>IF(OR(A5="",E5=0),"",(B5+C5)/E5)</x:f>
        <x:v>6.333333333333333</x:v>
      </x:c>
      <x:c r="K5" s="18" t="n">
        <x:f t="shared" ref="K5:K38" si="1">IF(OR(A5="",D5="",J5=""),"",D5+(J5*30))</x:f>
        <x:v>46460</x:v>
      </x:c>
      <x:c r="L5" s="18" t="n">
        <x:f>IF(K5="","",K5-90)</x:f>
        <x:v>46370</x:v>
      </x:c>
    </x:row>
    <x:row r="6">
      <x:c r="A6" s="16" t="s">
        <x:v>15</x:v>
      </x:c>
      <x:c r="B6" s="9">
        <x:v>13</x:v>
      </x:c>
      <x:c r="C6" s="9">
        <x:v>8</x:v>
      </x:c>
      <x:c r="D6" s="17">
        <x:v>46270</x:v>
      </x:c>
      <x:c r="E6" s="10">
        <x:v>5</x:v>
      </x:c>
      <x:c r="F6" s="6">
        <x:v>20</x:v>
      </x:c>
      <x:c r="G6" s="6">
        <x:v>35</x:v>
      </x:c>
      <x:c r="H6" s="7">
        <x:v>7</x:v>
      </x:c>
      <x:c r="I6" s="11">
        <x:f t="shared" si="0"/>
        <x:v>55</x:v>
      </x:c>
      <x:c r="J6" s="12" t="n">
        <x:f t="shared" ref="J6:J38" si="2">IF(OR(A6="",E6=0),"",(B6+C6)/E6)</x:f>
        <x:v>4.2</x:v>
      </x:c>
      <x:c r="K6" s="18">
        <x:f t="shared" si="1"/>
        <x:v>46396</x:v>
      </x:c>
      <x:c r="L6" s="18" t="n">
        <x:f t="shared" ref="L6:L38" si="3">IF(K6="","",K6-90)</x:f>
        <x:v>46306</x:v>
      </x:c>
    </x:row>
    <x:row r="7">
      <x:c r="A7" s="16" t="s">
        <x:v>16</x:v>
      </x:c>
      <x:c r="B7" s="9">
        <x:v>17</x:v>
      </x:c>
      <x:c r="C7" s="9">
        <x:v>3</x:v>
      </x:c>
      <x:c r="D7" s="17">
        <x:v>46270</x:v>
      </x:c>
      <x:c r="E7" s="10">
        <x:v>5</x:v>
      </x:c>
      <x:c r="F7" s="6">
        <x:v>20</x:v>
      </x:c>
      <x:c r="G7" s="6">
        <x:v>35</x:v>
      </x:c>
      <x:c r="H7" s="7">
        <x:v>7</x:v>
      </x:c>
      <x:c r="I7" s="11">
        <x:f t="shared" si="0"/>
        <x:v>55</x:v>
      </x:c>
      <x:c r="J7" s="12">
        <x:f t="shared" si="2"/>
        <x:v>4</x:v>
      </x:c>
      <x:c r="K7" s="18">
        <x:f t="shared" si="1"/>
        <x:v>46390</x:v>
      </x:c>
      <x:c r="L7" s="18">
        <x:f t="shared" si="3"/>
        <x:v>46300</x:v>
      </x:c>
    </x:row>
    <x:row r="8">
      <x:c r="A8" s="16" t="s">
        <x:v>17</x:v>
      </x:c>
      <x:c r="B8" s="9">
        <x:v>12</x:v>
      </x:c>
      <x:c r="C8" s="9">
        <x:v>5</x:v>
      </x:c>
      <x:c r="D8" s="17">
        <x:v>46270</x:v>
      </x:c>
      <x:c r="E8" s="10">
        <x:v>5</x:v>
      </x:c>
      <x:c r="F8" s="6">
        <x:v>20</x:v>
      </x:c>
      <x:c r="G8" s="6">
        <x:v>35</x:v>
      </x:c>
      <x:c r="H8" s="7">
        <x:v>7</x:v>
      </x:c>
      <x:c r="I8" s="11">
        <x:f t="shared" si="0"/>
        <x:v>55</x:v>
      </x:c>
      <x:c r="J8" s="12">
        <x:f t="shared" si="2"/>
        <x:v>3.4</x:v>
      </x:c>
      <x:c r="K8" s="18">
        <x:f t="shared" si="1"/>
        <x:v>46372</x:v>
      </x:c>
      <x:c r="L8" s="18">
        <x:f t="shared" si="3"/>
        <x:v>46282</x:v>
      </x:c>
    </x:row>
    <x:row r="9">
      <x:c r="A9" s="16" t="s">
        <x:v>18</x:v>
      </x:c>
      <x:c r="B9" s="9">
        <x:v>11</x:v>
      </x:c>
      <x:c r="C9" s="9">
        <x:v>6</x:v>
      </x:c>
      <x:c r="D9" s="17">
        <x:v>46270</x:v>
      </x:c>
      <x:c r="E9" s="10">
        <x:v>5</x:v>
      </x:c>
      <x:c r="F9" s="6">
        <x:v>20</x:v>
      </x:c>
      <x:c r="G9" s="6">
        <x:v>35</x:v>
      </x:c>
      <x:c r="H9" s="7">
        <x:v>7</x:v>
      </x:c>
      <x:c r="I9" s="11">
        <x:f t="shared" si="0"/>
        <x:v>55</x:v>
      </x:c>
      <x:c r="J9" s="12" t="n">
        <x:f>IF(OR(A9="",E9=0),"",(B9+C9)/E9)</x:f>
        <x:v>3.4</x:v>
      </x:c>
      <x:c r="K9" s="18">
        <x:f t="shared" si="1"/>
        <x:v>46372</x:v>
      </x:c>
      <x:c r="L9" s="18">
        <x:f t="shared" si="3"/>
        <x:v>46282</x:v>
      </x:c>
    </x:row>
    <x:row r="10">
      <x:c r="A10" s="16" t="s">
        <x:v>19</x:v>
      </x:c>
      <x:c r="B10" s="9">
        <x:v>14</x:v>
      </x:c>
      <x:c r="C10" s="9">
        <x:v>5</x:v>
      </x:c>
      <x:c r="D10" s="17">
        <x:v>46270</x:v>
      </x:c>
      <x:c r="E10" s="10">
        <x:v>5</x:v>
      </x:c>
      <x:c r="F10" s="6">
        <x:v>20</x:v>
      </x:c>
      <x:c r="G10" s="6">
        <x:v>35</x:v>
      </x:c>
      <x:c r="H10" s="7">
        <x:v>7</x:v>
      </x:c>
      <x:c r="I10" s="11">
        <x:f t="shared" si="0"/>
        <x:v>55</x:v>
      </x:c>
      <x:c r="J10" s="12">
        <x:f t="shared" si="2"/>
        <x:v>3.8</x:v>
      </x:c>
      <x:c r="K10" s="18">
        <x:f t="shared" si="1"/>
        <x:v>46384</x:v>
      </x:c>
      <x:c r="L10" s="18">
        <x:f t="shared" si="3"/>
        <x:v>46294</x:v>
      </x:c>
    </x:row>
    <x:row r="11">
      <x:c r="A11" s="16" t="s">
        <x:v>20</x:v>
      </x:c>
      <x:c r="B11" s="9">
        <x:v>16</x:v>
      </x:c>
      <x:c r="C11" s="9">
        <x:v>3</x:v>
      </x:c>
      <x:c r="D11" s="17">
        <x:v>46270</x:v>
      </x:c>
      <x:c r="E11" s="10">
        <x:v>5</x:v>
      </x:c>
      <x:c r="F11" s="6">
        <x:v>20</x:v>
      </x:c>
      <x:c r="G11" s="6">
        <x:v>35</x:v>
      </x:c>
      <x:c r="H11" s="7">
        <x:v>7</x:v>
      </x:c>
      <x:c r="I11" s="11">
        <x:f t="shared" si="0"/>
        <x:v>55</x:v>
      </x:c>
      <x:c r="J11" s="12">
        <x:f t="shared" si="2"/>
        <x:v>3.8</x:v>
      </x:c>
      <x:c r="K11" s="18">
        <x:f t="shared" si="1"/>
        <x:v>46384</x:v>
      </x:c>
      <x:c r="L11" s="18">
        <x:f t="shared" si="3"/>
        <x:v>46294</x:v>
      </x:c>
    </x:row>
    <x:row r="12">
      <x:c r="A12" s="16" t="s">
        <x:v>21</x:v>
      </x:c>
      <x:c r="B12" s="9">
        <x:v>21</x:v>
      </x:c>
      <x:c r="C12" s="9">
        <x:v>8</x:v>
      </x:c>
      <x:c r="D12" s="17">
        <x:v>46270</x:v>
      </x:c>
      <x:c r="E12" s="10">
        <x:v>5</x:v>
      </x:c>
      <x:c r="F12" s="6">
        <x:v>20</x:v>
      </x:c>
      <x:c r="G12" s="6">
        <x:v>35</x:v>
      </x:c>
      <x:c r="H12" s="7">
        <x:v>7</x:v>
      </x:c>
      <x:c r="I12" s="11">
        <x:f t="shared" si="0"/>
        <x:v>55</x:v>
      </x:c>
      <x:c r="J12" s="12">
        <x:f t="shared" si="2"/>
        <x:v>5.8</x:v>
      </x:c>
      <x:c r="K12" s="18">
        <x:f t="shared" si="1"/>
        <x:v>46444</x:v>
      </x:c>
      <x:c r="L12" s="18">
        <x:f t="shared" si="3"/>
        <x:v>46354</x:v>
      </x:c>
    </x:row>
    <x:row r="13">
      <x:c r="A13" s="16" t="s">
        <x:v>22</x:v>
      </x:c>
      <x:c r="B13" s="9">
        <x:v>13</x:v>
      </x:c>
      <x:c r="C13" s="9">
        <x:v>3</x:v>
      </x:c>
      <x:c r="D13" s="17">
        <x:v>46270</x:v>
      </x:c>
      <x:c r="E13" s="10">
        <x:v>5</x:v>
      </x:c>
      <x:c r="F13" s="6">
        <x:v>20</x:v>
      </x:c>
      <x:c r="G13" s="6">
        <x:v>35</x:v>
      </x:c>
      <x:c r="H13" s="7">
        <x:v>7</x:v>
      </x:c>
      <x:c r="I13" s="11">
        <x:f t="shared" si="0"/>
        <x:v>55</x:v>
      </x:c>
      <x:c r="J13" s="12">
        <x:f t="shared" si="2"/>
        <x:v>3.2</x:v>
      </x:c>
      <x:c r="K13" s="18">
        <x:f t="shared" si="1"/>
        <x:v>46366</x:v>
      </x:c>
      <x:c r="L13" s="18">
        <x:f t="shared" si="3"/>
        <x:v>46276</x:v>
      </x:c>
    </x:row>
    <x:row r="14">
      <x:c r="A14" s="16" t="s">
        <x:v>23</x:v>
      </x:c>
      <x:c r="B14" s="9">
        <x:v>100</x:v>
      </x:c>
      <x:c r="C14" s="9">
        <x:v>35</x:v>
      </x:c>
      <x:c r="D14" s="17">
        <x:v>46270</x:v>
      </x:c>
      <x:c r="E14" s="10">
        <x:v>10</x:v>
      </x:c>
      <x:c r="F14" s="6">
        <x:v>20</x:v>
      </x:c>
      <x:c r="G14" s="6">
        <x:v>35</x:v>
      </x:c>
      <x:c r="H14" s="7" t="n">
        <x:f t="shared" ref="H14:H38" si="4">E14*1.5</x:f>
        <x:v>15</x:v>
      </x:c>
      <x:c r="I14" s="11">
        <x:f t="shared" si="0"/>
        <x:v>55</x:v>
      </x:c>
      <x:c r="J14" s="12">
        <x:f t="shared" si="2"/>
        <x:v>13.5</x:v>
      </x:c>
      <x:c r="K14" s="18">
        <x:f t="shared" si="1"/>
        <x:v>46675</x:v>
      </x:c>
      <x:c r="L14" s="18">
        <x:f t="shared" si="3"/>
        <x:v>46585</x:v>
      </x:c>
    </x:row>
    <x:row r="15">
      <x:c r="A15" s="16" t="s">
        <x:v>24</x:v>
      </x:c>
      <x:c r="B15" s="9">
        <x:v>95</x:v>
      </x:c>
      <x:c r="C15" s="9">
        <x:v>35</x:v>
      </x:c>
      <x:c r="D15" s="17">
        <x:v>46270</x:v>
      </x:c>
      <x:c r="E15" s="10">
        <x:v>15</x:v>
      </x:c>
      <x:c r="F15" s="6">
        <x:v>20</x:v>
      </x:c>
      <x:c r="G15" s="6">
        <x:v>35</x:v>
      </x:c>
      <x:c r="H15" s="7">
        <x:v>23</x:v>
      </x:c>
      <x:c r="I15" s="11">
        <x:f t="shared" si="0"/>
        <x:v>55</x:v>
      </x:c>
      <x:c r="J15" s="12">
        <x:f t="shared" si="2"/>
        <x:v>8.6666666666666661</x:v>
      </x:c>
      <x:c r="K15" s="18">
        <x:f t="shared" si="1"/>
        <x:v>46530</x:v>
      </x:c>
      <x:c r="L15" s="18">
        <x:f t="shared" si="3"/>
        <x:v>46440</x:v>
      </x:c>
    </x:row>
    <x:row r="16">
      <x:c r="A16" s="16" t="s">
        <x:v>25</x:v>
      </x:c>
      <x:c r="B16" s="9">
        <x:v>98</x:v>
      </x:c>
      <x:c r="C16" s="9">
        <x:v>35</x:v>
      </x:c>
      <x:c r="D16" s="17">
        <x:v>46270</x:v>
      </x:c>
      <x:c r="E16" s="10">
        <x:v>12</x:v>
      </x:c>
      <x:c r="F16" s="6">
        <x:v>20</x:v>
      </x:c>
      <x:c r="G16" s="6">
        <x:v>35</x:v>
      </x:c>
      <x:c r="H16" s="7">
        <x:f t="shared" si="4"/>
        <x:v>18</x:v>
      </x:c>
      <x:c r="I16" s="11">
        <x:f t="shared" si="0"/>
        <x:v>55</x:v>
      </x:c>
      <x:c r="J16" s="12">
        <x:f t="shared" si="2"/>
        <x:v>11.083333333333334</x:v>
      </x:c>
      <x:c r="K16" s="18">
        <x:f t="shared" si="1"/>
        <x:v>46602.5</x:v>
      </x:c>
      <x:c r="L16" s="18">
        <x:f t="shared" si="3"/>
        <x:v>46512.5</x:v>
      </x:c>
    </x:row>
    <x:row r="17">
      <x:c r="A17" s="16" t="s">
        <x:v>26</x:v>
      </x:c>
      <x:c r="B17" s="9">
        <x:v>99</x:v>
      </x:c>
      <x:c r="C17" s="9">
        <x:v>35</x:v>
      </x:c>
      <x:c r="D17" s="17">
        <x:v>46270</x:v>
      </x:c>
      <x:c r="E17" s="10">
        <x:v>10</x:v>
      </x:c>
      <x:c r="F17" s="6">
        <x:v>20</x:v>
      </x:c>
      <x:c r="G17" s="6">
        <x:v>35</x:v>
      </x:c>
      <x:c r="H17" s="7">
        <x:f t="shared" si="4"/>
        <x:v>15</x:v>
      </x:c>
      <x:c r="I17" s="11">
        <x:f t="shared" si="0"/>
        <x:v>55</x:v>
      </x:c>
      <x:c r="J17" s="12">
        <x:f t="shared" si="2"/>
        <x:v>13.4</x:v>
      </x:c>
      <x:c r="K17" s="18">
        <x:f t="shared" si="1"/>
        <x:v>46672</x:v>
      </x:c>
      <x:c r="L17" s="18">
        <x:f t="shared" si="3"/>
        <x:v>46582</x:v>
      </x:c>
    </x:row>
    <x:row r="18">
      <x:c r="A18" s="16" t="s">
        <x:v>27</x:v>
      </x:c>
      <x:c r="B18" s="9">
        <x:v>110</x:v>
      </x:c>
      <x:c r="C18" s="9">
        <x:v>35</x:v>
      </x:c>
      <x:c r="D18" s="17">
        <x:v>46270</x:v>
      </x:c>
      <x:c r="E18" s="10">
        <x:v>10</x:v>
      </x:c>
      <x:c r="F18" s="6">
        <x:v>20</x:v>
      </x:c>
      <x:c r="G18" s="6">
        <x:v>35</x:v>
      </x:c>
      <x:c r="H18" s="7">
        <x:f t="shared" si="4"/>
        <x:v>15</x:v>
      </x:c>
      <x:c r="I18" s="11">
        <x:f t="shared" si="0"/>
        <x:v>55</x:v>
      </x:c>
      <x:c r="J18" s="12">
        <x:f t="shared" si="2"/>
        <x:v>14.5</x:v>
      </x:c>
      <x:c r="K18" s="18">
        <x:f t="shared" si="1"/>
        <x:v>46705</x:v>
      </x:c>
      <x:c r="L18" s="18">
        <x:f t="shared" si="3"/>
        <x:v>46615</x:v>
      </x:c>
    </x:row>
    <x:row r="19">
      <x:c r="A19" s="16" t="s">
        <x:v>28</x:v>
      </x:c>
      <x:c r="B19" s="9">
        <x:v>14</x:v>
      </x:c>
      <x:c r="C19" s="9">
        <x:v>4</x:v>
      </x:c>
      <x:c r="D19" s="17">
        <x:v>46270</x:v>
      </x:c>
      <x:c r="E19" s="10">
        <x:v>2</x:v>
      </x:c>
      <x:c r="F19" s="6">
        <x:v>20</x:v>
      </x:c>
      <x:c r="G19" s="6">
        <x:v>35</x:v>
      </x:c>
      <x:c r="H19" s="7">
        <x:f t="shared" si="4"/>
        <x:v>3</x:v>
      </x:c>
      <x:c r="I19" s="11">
        <x:f t="shared" si="0"/>
        <x:v>55</x:v>
      </x:c>
      <x:c r="J19" s="12">
        <x:f t="shared" si="2"/>
        <x:v>9</x:v>
      </x:c>
      <x:c r="K19" s="18">
        <x:f t="shared" si="1"/>
        <x:v>46540</x:v>
      </x:c>
      <x:c r="L19" s="18">
        <x:f t="shared" si="3"/>
        <x:v>46450</x:v>
      </x:c>
    </x:row>
    <x:row r="20">
      <x:c r="A20" s="16" t="s">
        <x:v>29</x:v>
      </x:c>
      <x:c r="B20" s="9">
        <x:v>13</x:v>
      </x:c>
      <x:c r="C20" s="9">
        <x:v>6</x:v>
      </x:c>
      <x:c r="D20" s="17">
        <x:v>46270</x:v>
      </x:c>
      <x:c r="E20" s="10">
        <x:v>2</x:v>
      </x:c>
      <x:c r="F20" s="6">
        <x:v>20</x:v>
      </x:c>
      <x:c r="G20" s="6">
        <x:v>35</x:v>
      </x:c>
      <x:c r="H20" s="7">
        <x:f t="shared" si="4"/>
        <x:v>3</x:v>
      </x:c>
      <x:c r="I20" s="11">
        <x:f t="shared" si="0"/>
        <x:v>55</x:v>
      </x:c>
      <x:c r="J20" s="12">
        <x:f t="shared" si="2"/>
        <x:v>9.5</x:v>
      </x:c>
      <x:c r="K20" s="18">
        <x:f t="shared" si="1"/>
        <x:v>46555</x:v>
      </x:c>
      <x:c r="L20" s="18">
        <x:f t="shared" si="3"/>
        <x:v>46465</x:v>
      </x:c>
    </x:row>
    <x:row r="21">
      <x:c r="A21" s="16" t="s">
        <x:v>30</x:v>
      </x:c>
      <x:c r="B21" s="9">
        <x:v>5</x:v>
      </x:c>
      <x:c r="C21" s="9">
        <x:v>7</x:v>
      </x:c>
      <x:c r="D21" s="17">
        <x:v>46270</x:v>
      </x:c>
      <x:c r="E21" s="10">
        <x:v>2</x:v>
      </x:c>
      <x:c r="F21" s="6">
        <x:v>20</x:v>
      </x:c>
      <x:c r="G21" s="6">
        <x:v>35</x:v>
      </x:c>
      <x:c r="H21" s="7">
        <x:f t="shared" si="4"/>
        <x:v>3</x:v>
      </x:c>
      <x:c r="I21" s="11" t="n">
        <x:f t="shared" ref="I21:I29" si="5">IF(A21="","",F21+G21)</x:f>
        <x:v>55</x:v>
      </x:c>
      <x:c r="J21" s="12" t="n">
        <x:f t="shared" ref="J21:J29" si="6">IF(OR(A21="",E21=0),"",(B21+C21)/E21)</x:f>
        <x:v>6</x:v>
      </x:c>
      <x:c r="K21" s="18">
        <x:f t="shared" si="1"/>
        <x:v>46450</x:v>
      </x:c>
      <x:c r="L21" s="18">
        <x:f t="shared" si="3"/>
        <x:v>46360</x:v>
      </x:c>
    </x:row>
    <x:row r="22">
      <x:c r="A22" s="16" t="s">
        <x:v>31</x:v>
      </x:c>
      <x:c r="B22" s="9">
        <x:v>7</x:v>
      </x:c>
      <x:c r="C22" s="9">
        <x:v>2</x:v>
      </x:c>
      <x:c r="D22" s="17">
        <x:v>46270</x:v>
      </x:c>
      <x:c r="E22" s="10">
        <x:v>2</x:v>
      </x:c>
      <x:c r="F22" s="6">
        <x:v>20</x:v>
      </x:c>
      <x:c r="G22" s="6">
        <x:v>35</x:v>
      </x:c>
      <x:c r="H22" s="7">
        <x:f t="shared" si="4"/>
        <x:v>3</x:v>
      </x:c>
      <x:c r="I22" s="11">
        <x:f t="shared" si="5"/>
        <x:v>55</x:v>
      </x:c>
      <x:c r="J22" s="12">
        <x:f t="shared" si="6"/>
        <x:v>4.5</x:v>
      </x:c>
      <x:c r="K22" s="18">
        <x:f t="shared" si="1"/>
        <x:v>46405</x:v>
      </x:c>
      <x:c r="L22" s="18">
        <x:f t="shared" si="3"/>
        <x:v>46315</x:v>
      </x:c>
    </x:row>
    <x:row r="23">
      <x:c r="A23" s="16" t="s">
        <x:v>32</x:v>
      </x:c>
      <x:c r="B23" s="9">
        <x:v>4</x:v>
      </x:c>
      <x:c r="C23" s="9">
        <x:v>12</x:v>
      </x:c>
      <x:c r="D23" s="17">
        <x:v>46270</x:v>
      </x:c>
      <x:c r="E23" s="10">
        <x:v>2</x:v>
      </x:c>
      <x:c r="F23" s="6">
        <x:v>20</x:v>
      </x:c>
      <x:c r="G23" s="6">
        <x:v>35</x:v>
      </x:c>
      <x:c r="H23" s="7">
        <x:f t="shared" si="4"/>
        <x:v>3</x:v>
      </x:c>
      <x:c r="I23" s="11">
        <x:f t="shared" si="5"/>
        <x:v>55</x:v>
      </x:c>
      <x:c r="J23" s="12">
        <x:f t="shared" si="6"/>
        <x:v>8</x:v>
      </x:c>
      <x:c r="K23" s="18">
        <x:f t="shared" si="1"/>
        <x:v>46510</x:v>
      </x:c>
      <x:c r="L23" s="18">
        <x:f t="shared" si="3"/>
        <x:v>46420</x:v>
      </x:c>
    </x:row>
    <x:row r="24">
      <x:c r="A24" s="16" t="s">
        <x:v>33</x:v>
      </x:c>
      <x:c r="B24" s="9">
        <x:v>58</x:v>
      </x:c>
      <x:c r="C24" s="9">
        <x:v>0</x:v>
      </x:c>
      <x:c r="D24" s="17">
        <x:v>46270</x:v>
      </x:c>
      <x:c r="E24" s="10">
        <x:v>8</x:v>
      </x:c>
      <x:c r="F24" s="6">
        <x:v>20</x:v>
      </x:c>
      <x:c r="G24" s="6">
        <x:v>35</x:v>
      </x:c>
      <x:c r="H24" s="7">
        <x:f t="shared" si="4"/>
        <x:v>12</x:v>
      </x:c>
      <x:c r="I24" s="11">
        <x:f t="shared" si="5"/>
        <x:v>55</x:v>
      </x:c>
      <x:c r="J24" s="12">
        <x:f t="shared" si="6"/>
        <x:v>7.25</x:v>
      </x:c>
      <x:c r="K24" s="18">
        <x:f t="shared" si="1"/>
        <x:v>46487.5</x:v>
      </x:c>
      <x:c r="L24" s="18">
        <x:f t="shared" si="3"/>
        <x:v>46397.5</x:v>
      </x:c>
    </x:row>
    <x:row r="25">
      <x:c r="A25" s="16" t="s">
        <x:v>34</x:v>
      </x:c>
      <x:c r="B25" s="9">
        <x:v>3</x:v>
      </x:c>
      <x:c r="C25" s="9">
        <x:v>1</x:v>
      </x:c>
      <x:c r="D25" s="17">
        <x:v>46270</x:v>
      </x:c>
      <x:c r="E25" s="10">
        <x:v>1</x:v>
      </x:c>
      <x:c r="F25" s="6">
        <x:v>20</x:v>
      </x:c>
      <x:c r="G25" s="6">
        <x:v>35</x:v>
      </x:c>
      <x:c r="H25" s="7">
        <x:v>2</x:v>
      </x:c>
      <x:c r="I25" s="11">
        <x:f t="shared" si="5"/>
        <x:v>55</x:v>
      </x:c>
      <x:c r="J25" s="12">
        <x:f t="shared" si="6"/>
        <x:v>4</x:v>
      </x:c>
      <x:c r="K25" s="18">
        <x:f t="shared" si="1"/>
        <x:v>46390</x:v>
      </x:c>
      <x:c r="L25" s="18">
        <x:f t="shared" si="3"/>
        <x:v>46300</x:v>
      </x:c>
    </x:row>
    <x:row r="26">
      <x:c r="A26" s="16" t="s">
        <x:v>35</x:v>
      </x:c>
      <x:c r="B26" s="9">
        <x:v>35</x:v>
      </x:c>
      <x:c r="C26" s="9">
        <x:v>10</x:v>
      </x:c>
      <x:c r="D26" s="17">
        <x:v>46270</x:v>
      </x:c>
      <x:c r="E26" s="10">
        <x:v>5</x:v>
      </x:c>
      <x:c r="F26" s="6">
        <x:v>20</x:v>
      </x:c>
      <x:c r="G26" s="6">
        <x:v>35</x:v>
      </x:c>
      <x:c r="H26" s="7">
        <x:v>8</x:v>
      </x:c>
      <x:c r="I26" s="11">
        <x:f t="shared" si="5"/>
        <x:v>55</x:v>
      </x:c>
      <x:c r="J26" s="12">
        <x:f t="shared" si="6"/>
        <x:v>9</x:v>
      </x:c>
      <x:c r="K26" s="18">
        <x:f t="shared" si="1"/>
        <x:v>46540</x:v>
      </x:c>
      <x:c r="L26" s="18">
        <x:f t="shared" si="3"/>
        <x:v>46450</x:v>
      </x:c>
    </x:row>
    <x:row r="27">
      <x:c r="A27" s="16" t="s">
        <x:v>36</x:v>
      </x:c>
      <x:c r="B27" s="9">
        <x:v>21</x:v>
      </x:c>
      <x:c r="C27" s="9">
        <x:v>5</x:v>
      </x:c>
      <x:c r="D27" s="17">
        <x:v>46270</x:v>
      </x:c>
      <x:c r="E27" s="10">
        <x:v>3</x:v>
      </x:c>
      <x:c r="F27" s="6">
        <x:v>20</x:v>
      </x:c>
      <x:c r="G27" s="6">
        <x:v>35</x:v>
      </x:c>
      <x:c r="H27" s="7">
        <x:v>5</x:v>
      </x:c>
      <x:c r="I27" s="11">
        <x:f t="shared" si="5"/>
        <x:v>55</x:v>
      </x:c>
      <x:c r="J27" s="12">
        <x:f t="shared" si="6"/>
        <x:v>8.6666666666666661</x:v>
      </x:c>
      <x:c r="K27" s="18">
        <x:f t="shared" si="1"/>
        <x:v>46530</x:v>
      </x:c>
      <x:c r="L27" s="18">
        <x:f t="shared" si="3"/>
        <x:v>46440</x:v>
      </x:c>
    </x:row>
    <x:row r="28">
      <x:c r="A28" s="16" t="s">
        <x:v>37</x:v>
      </x:c>
      <x:c r="B28" s="9">
        <x:v>20</x:v>
      </x:c>
      <x:c r="C28" s="9">
        <x:v>5</x:v>
      </x:c>
      <x:c r="D28" s="17">
        <x:v>46270</x:v>
      </x:c>
      <x:c r="E28" s="10">
        <x:v>3</x:v>
      </x:c>
      <x:c r="F28" s="6">
        <x:v>20</x:v>
      </x:c>
      <x:c r="G28" s="6">
        <x:v>35</x:v>
      </x:c>
      <x:c r="H28" s="7">
        <x:v>5</x:v>
      </x:c>
      <x:c r="I28" s="11">
        <x:f t="shared" si="5"/>
        <x:v>55</x:v>
      </x:c>
      <x:c r="J28" s="12">
        <x:f t="shared" si="6"/>
        <x:v>8.3333333333333339</x:v>
      </x:c>
      <x:c r="K28" s="18">
        <x:f t="shared" si="1"/>
        <x:v>46520</x:v>
      </x:c>
      <x:c r="L28" s="18">
        <x:f t="shared" si="3"/>
        <x:v>46430</x:v>
      </x:c>
    </x:row>
    <x:row r="29">
      <x:c r="A29" s="16" t="s">
        <x:v>38</x:v>
      </x:c>
      <x:c r="B29" s="13">
        <x:v>20</x:v>
      </x:c>
      <x:c r="C29" s="13">
        <x:v>5</x:v>
      </x:c>
      <x:c r="D29" s="17">
        <x:v>46270</x:v>
      </x:c>
      <x:c r="E29" s="14">
        <x:v>3</x:v>
      </x:c>
      <x:c r="F29" s="6">
        <x:v>20</x:v>
      </x:c>
      <x:c r="G29" s="6">
        <x:v>35</x:v>
      </x:c>
      <x:c r="H29" s="7">
        <x:v>5</x:v>
      </x:c>
      <x:c r="I29" s="15">
        <x:f t="shared" si="5"/>
        <x:v>55</x:v>
      </x:c>
      <x:c r="J29" s="12">
        <x:f t="shared" si="6"/>
        <x:v>8.3333333333333339</x:v>
      </x:c>
      <x:c r="K29" s="18">
        <x:f t="shared" si="1"/>
        <x:v>46520</x:v>
      </x:c>
      <x:c r="L29" s="18">
        <x:f t="shared" si="3"/>
        <x:v>46430</x:v>
      </x:c>
    </x:row>
    <x:row r="30">
      <x:c r="A30" s="16" t="s">
        <x:v>39</x:v>
      </x:c>
      <x:c r="B30" s="9">
        <x:v>20</x:v>
      </x:c>
      <x:c r="C30" s="9">
        <x:v>5</x:v>
      </x:c>
      <x:c r="D30" s="17">
        <x:v>46270</x:v>
      </x:c>
      <x:c r="E30" s="10">
        <x:v>3</x:v>
      </x:c>
      <x:c r="F30" s="6">
        <x:v>20</x:v>
      </x:c>
      <x:c r="G30" s="6">
        <x:v>35</x:v>
      </x:c>
      <x:c r="H30" s="7">
        <x:v>5</x:v>
      </x:c>
      <x:c r="I30" s="11">
        <x:f t="shared" si="0"/>
        <x:v>55</x:v>
      </x:c>
      <x:c r="J30" s="12">
        <x:f t="shared" si="2"/>
        <x:v>8.3333333333333339</x:v>
      </x:c>
      <x:c r="K30" s="18">
        <x:f t="shared" si="1"/>
        <x:v>46520</x:v>
      </x:c>
      <x:c r="L30" s="18">
        <x:f t="shared" si="3"/>
        <x:v>46430</x:v>
      </x:c>
    </x:row>
    <x:row r="31">
      <x:c r="A31" s="16" t="s">
        <x:v>40</x:v>
      </x:c>
      <x:c r="B31" s="9">
        <x:v>30</x:v>
      </x:c>
      <x:c r="C31" s="9">
        <x:v>5</x:v>
      </x:c>
      <x:c r="D31" s="17">
        <x:v>46270</x:v>
      </x:c>
      <x:c r="E31" s="10">
        <x:v>5</x:v>
      </x:c>
      <x:c r="F31" s="6">
        <x:v>20</x:v>
      </x:c>
      <x:c r="G31" s="6">
        <x:v>35</x:v>
      </x:c>
      <x:c r="H31" s="7">
        <x:v>8</x:v>
      </x:c>
      <x:c r="I31" s="11">
        <x:f t="shared" si="0"/>
        <x:v>55</x:v>
      </x:c>
      <x:c r="J31" s="12">
        <x:f t="shared" si="2"/>
        <x:v>7</x:v>
      </x:c>
      <x:c r="K31" s="18">
        <x:f t="shared" si="1"/>
        <x:v>46480</x:v>
      </x:c>
      <x:c r="L31" s="18">
        <x:f t="shared" si="3"/>
        <x:v>46390</x:v>
      </x:c>
    </x:row>
    <x:row r="32">
      <x:c r="A32" s="16" t="s">
        <x:v>41</x:v>
      </x:c>
      <x:c r="B32" s="9">
        <x:v>4</x:v>
      </x:c>
      <x:c r="C32" s="9">
        <x:v>1</x:v>
      </x:c>
      <x:c r="D32" s="17">
        <x:v>46270</x:v>
      </x:c>
      <x:c r="E32" s="10">
        <x:v>1</x:v>
      </x:c>
      <x:c r="F32" s="6">
        <x:v>20</x:v>
      </x:c>
      <x:c r="G32" s="6">
        <x:v>35</x:v>
      </x:c>
      <x:c r="H32" s="7">
        <x:v>2</x:v>
      </x:c>
      <x:c r="I32" s="11">
        <x:f t="shared" si="0"/>
        <x:v>55</x:v>
      </x:c>
      <x:c r="J32" s="12">
        <x:f t="shared" si="2"/>
        <x:v>5</x:v>
      </x:c>
      <x:c r="K32" s="18">
        <x:f t="shared" si="1"/>
        <x:v>46420</x:v>
      </x:c>
      <x:c r="L32" s="18">
        <x:f t="shared" si="3"/>
        <x:v>46330</x:v>
      </x:c>
    </x:row>
    <x:row r="33">
      <x:c r="A33" s="16" t="s">
        <x:v>42</x:v>
      </x:c>
      <x:c r="B33" s="9">
        <x:v>5</x:v>
      </x:c>
      <x:c r="C33" s="9">
        <x:v>5</x:v>
      </x:c>
      <x:c r="D33" s="17">
        <x:v>46270</x:v>
      </x:c>
      <x:c r="E33" s="10">
        <x:v>2</x:v>
      </x:c>
      <x:c r="F33" s="6">
        <x:v>20</x:v>
      </x:c>
      <x:c r="G33" s="6">
        <x:v>35</x:v>
      </x:c>
      <x:c r="H33" s="7">
        <x:f t="shared" si="4"/>
        <x:v>3</x:v>
      </x:c>
      <x:c r="I33" s="11">
        <x:f t="shared" si="0"/>
        <x:v>55</x:v>
      </x:c>
      <x:c r="J33" s="12">
        <x:f t="shared" si="2"/>
        <x:v>5</x:v>
      </x:c>
      <x:c r="K33" s="18">
        <x:f t="shared" si="1"/>
        <x:v>46420</x:v>
      </x:c>
      <x:c r="L33" s="18">
        <x:f t="shared" si="3"/>
        <x:v>46330</x:v>
      </x:c>
    </x:row>
    <x:row r="34">
      <x:c r="A34" s="16" t="s">
        <x:v>43</x:v>
      </x:c>
      <x:c r="B34" s="9">
        <x:v>5</x:v>
      </x:c>
      <x:c r="C34" s="9">
        <x:v>5</x:v>
      </x:c>
      <x:c r="D34" s="17">
        <x:v>46270</x:v>
      </x:c>
      <x:c r="E34" s="10">
        <x:v>2</x:v>
      </x:c>
      <x:c r="F34" s="6">
        <x:v>20</x:v>
      </x:c>
      <x:c r="G34" s="6">
        <x:v>35</x:v>
      </x:c>
      <x:c r="H34" s="7">
        <x:f t="shared" si="4"/>
        <x:v>3</x:v>
      </x:c>
      <x:c r="I34" s="11">
        <x:f t="shared" si="0"/>
        <x:v>55</x:v>
      </x:c>
      <x:c r="J34" s="12">
        <x:f t="shared" si="2"/>
        <x:v>5</x:v>
      </x:c>
      <x:c r="K34" s="18">
        <x:f t="shared" si="1"/>
        <x:v>46420</x:v>
      </x:c>
      <x:c r="L34" s="18">
        <x:f t="shared" si="3"/>
        <x:v>46330</x:v>
      </x:c>
    </x:row>
    <x:row r="35">
      <x:c r="A35" s="16" t="s">
        <x:v>44</x:v>
      </x:c>
      <x:c r="B35" s="9">
        <x:v>5</x:v>
      </x:c>
      <x:c r="C35" s="9">
        <x:v>7</x:v>
      </x:c>
      <x:c r="D35" s="17">
        <x:v>46270</x:v>
      </x:c>
      <x:c r="E35" s="10">
        <x:v>3</x:v>
      </x:c>
      <x:c r="F35" s="6">
        <x:v>20</x:v>
      </x:c>
      <x:c r="G35" s="6">
        <x:v>35</x:v>
      </x:c>
      <x:c r="H35" s="7">
        <x:v>5</x:v>
      </x:c>
      <x:c r="I35" s="11">
        <x:f t="shared" si="0"/>
        <x:v>55</x:v>
      </x:c>
      <x:c r="J35" s="12">
        <x:f t="shared" si="2"/>
        <x:v>4</x:v>
      </x:c>
      <x:c r="K35" s="18">
        <x:f t="shared" si="1"/>
        <x:v>46390</x:v>
      </x:c>
      <x:c r="L35" s="18">
        <x:f t="shared" si="3"/>
        <x:v>46300</x:v>
      </x:c>
    </x:row>
    <x:row r="36">
      <x:c r="A36" s="16" t="s">
        <x:v>45</x:v>
      </x:c>
      <x:c r="B36" s="9">
        <x:v>5</x:v>
      </x:c>
      <x:c r="C36" s="9">
        <x:v>7</x:v>
      </x:c>
      <x:c r="D36" s="17">
        <x:v>46270</x:v>
      </x:c>
      <x:c r="E36" s="10">
        <x:v>3</x:v>
      </x:c>
      <x:c r="F36" s="6">
        <x:v>20</x:v>
      </x:c>
      <x:c r="G36" s="6">
        <x:v>35</x:v>
      </x:c>
      <x:c r="H36" s="7">
        <x:v>5</x:v>
      </x:c>
      <x:c r="I36" s="11">
        <x:f t="shared" si="0"/>
        <x:v>55</x:v>
      </x:c>
      <x:c r="J36" s="12">
        <x:f t="shared" si="2"/>
        <x:v>4</x:v>
      </x:c>
      <x:c r="K36" s="18">
        <x:f t="shared" si="1"/>
        <x:v>46390</x:v>
      </x:c>
      <x:c r="L36" s="18">
        <x:f t="shared" si="3"/>
        <x:v>46300</x:v>
      </x:c>
    </x:row>
    <x:row r="37">
      <x:c r="A37" s="16" t="s">
        <x:v>46</x:v>
      </x:c>
      <x:c r="B37" s="9">
        <x:v>5</x:v>
      </x:c>
      <x:c r="C37" s="9">
        <x:v>7</x:v>
      </x:c>
      <x:c r="D37" s="17">
        <x:v>46270</x:v>
      </x:c>
      <x:c r="E37" s="10">
        <x:v>3</x:v>
      </x:c>
      <x:c r="F37" s="6">
        <x:v>20</x:v>
      </x:c>
      <x:c r="G37" s="6">
        <x:v>35</x:v>
      </x:c>
      <x:c r="H37" s="7">
        <x:v>5</x:v>
      </x:c>
      <x:c r="I37" s="11" t="n">
        <x:f>IF(A37="","",F37+G37)</x:f>
        <x:v>55</x:v>
      </x:c>
      <x:c r="J37" s="12" t="n">
        <x:f>IF(OR(A37="",E37=0),"",(B37+C37)/E37)</x:f>
        <x:v>4</x:v>
      </x:c>
      <x:c r="K37" s="18">
        <x:f t="shared" si="1"/>
        <x:v>46390</x:v>
      </x:c>
      <x:c r="L37" s="18">
        <x:f t="shared" si="3"/>
        <x:v>46300</x:v>
      </x:c>
    </x:row>
    <x:row r="38">
      <x:c r="A38" s="16" t="s">
        <x:v>47</x:v>
      </x:c>
      <x:c r="B38" s="13">
        <x:v>80</x:v>
      </x:c>
      <x:c r="C38" s="13">
        <x:v>0</x:v>
      </x:c>
      <x:c r="D38" s="17">
        <x:v>46270</x:v>
      </x:c>
      <x:c r="E38" s="14">
        <x:v>8</x:v>
      </x:c>
      <x:c r="F38" s="6">
        <x:v>20</x:v>
      </x:c>
      <x:c r="G38" s="6">
        <x:v>35</x:v>
      </x:c>
      <x:c r="H38" s="7">
        <x:f t="shared" si="4"/>
        <x:v>12</x:v>
      </x:c>
      <x:c r="I38" s="15">
        <x:f t="shared" si="0"/>
        <x:v>55</x:v>
      </x:c>
      <x:c r="J38" s="12">
        <x:f t="shared" si="2"/>
        <x:v>10</x:v>
      </x:c>
      <x:c r="K38" s="18">
        <x:f t="shared" si="1"/>
        <x:v>46570</x:v>
      </x:c>
      <x:c r="L38" s="18">
        <x:f t="shared" si="3"/>
        <x:v>46480</x:v>
      </x:c>
    </x:row>
  </x:sheetData>
  <x:mergeCells>
    <x:mergeCell ref="A1:L1"/>
    <x:mergeCell ref="A2:L2"/>
  </x:mergeCells>
  <x:conditionalFormatting sqref="L5:L38">
    <x:cfRule type="expression" dxfId="1" priority="1">
      <x:formula>AND($L5&lt;TODAY(),$L5&lt;&gt;"")</x:formula>
    </x:cfRule>
    <x:cfRule type="expression" dxfId="0" priority="2">
      <x:formula>AND($L5&gt;=TODAY(),$L5&lt;=TODAY()+7)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30" customWidth="1"/>
    <x:col min="2" max="2" width="60" customWidth="1"/>
  </x:cols>
  <x:sheetData>
    <x:row r="1">
      <x:c r="A1" s="2" t="s">
        <x:v>48</x:v>
      </x:c>
      <x:c r="B1" s="2" t="s">
        <x:v>49</x:v>
      </x:c>
    </x:row>
    <x:row r="2">
      <x:c r="A2" s="3" t="s">
        <x:v>2</x:v>
      </x:c>
      <x:c r="B2" s="3" t="s">
        <x:v>50</x:v>
      </x:c>
    </x:row>
    <x:row r="3">
      <x:c r="A3" s="3" t="s">
        <x:v>3</x:v>
      </x:c>
      <x:c r="B3" s="3" t="s">
        <x:v>51</x:v>
      </x:c>
    </x:row>
    <x:row r="4">
      <x:c r="A4" s="3" t="s">
        <x:v>4</x:v>
      </x:c>
      <x:c r="B4" s="3" t="s">
        <x:v>52</x:v>
      </x:c>
    </x:row>
    <x:row r="5">
      <x:c r="A5" s="3" t="s">
        <x:v>5</x:v>
      </x:c>
      <x:c r="B5" s="3" t="s">
        <x:v>53</x:v>
      </x:c>
    </x:row>
    <x:row r="6">
      <x:c r="A6" s="3" t="str">
        <x:v>Consumo promedio mensual</x:v>
      </x:c>
      <x:c r="B6" s="3" t="str">
        <x:v>Promedio de unidades vendidas o utilizadas por mes.</x:v>
      </x:c>
    </x:row>
    <x:row r="7">
      <x:c r="A7" s="3" t="s">
        <x:v>7</x:v>
      </x:c>
      <x:c r="B7" s="3" t="s">
        <x:v>54</x:v>
      </x:c>
    </x:row>
    <x:row r="8">
      <x:c r="A8" s="3" t="s">
        <x:v>8</x:v>
      </x:c>
      <x:c r="B8" s="3" t="s">
        <x:v>55</x:v>
      </x:c>
    </x:row>
    <x:row r="9">
      <x:c r="A9" s="3" t="s">
        <x:v>9</x:v>
      </x:c>
      <x:c r="B9" s="3" t="s">
        <x:v>56</x:v>
      </x:c>
    </x:row>
    <x:row r="10" ht="27.600000381469727">
      <x:c r="A10" s="3" t="s">
        <x:v>57</x:v>
      </x:c>
      <x:c r="B10" s="3" t="s">
        <x:v>58</x:v>
      </x:c>
    </x:row>
    <x:row r="11" ht="27.600000381469727">
      <x:c r="A11" s="3" t="s">
        <x:v>59</x:v>
      </x:c>
      <x:c r="B11" s="3" t="s">
        <x:v>60</x:v>
      </x:c>
    </x:row>
  </x:sheetData>
  <x:pageMargins left="0.7" right="0.7" top="0.75" bottom="0.75" header="0.3" footer="0.3"/>
</x:worksheet>
</file>